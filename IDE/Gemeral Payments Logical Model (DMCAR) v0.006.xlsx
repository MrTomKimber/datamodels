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MCAR" sheetId="1" state="visible" r:id="rId2"/>
    <sheet name="DataTypes" sheetId="2" state="visible" r:id="rId3"/>
    <sheet name="InstanceMapping" sheetId="3" state="visible" r:id="rId4"/>
    <sheet name="Sheet1" sheetId="4" state="visible" r:id="rId5"/>
  </sheets>
  <definedNames>
    <definedName function="false" hidden="true" localSheetId="0" name="_xlnm._FilterDatabase" vbProcedure="false">DMCAR!$A$1:$AR$219</definedName>
    <definedName function="false" hidden="false" localSheetId="2" name="_xlnm.Extract" vbProcedure="false">InstanceMapping!$B$3</definedName>
    <definedName function="false" hidden="false" localSheetId="3" name="_xlnm.Extract" vbProcedure="false">Sheet1!$C$1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<sst xmlns="http://schemas.openxmlformats.org/spreadsheetml/2006/main" count="4365" uniqueCount="658">
  <si>
    <t xml:space="preserve">Namespace</t>
  </si>
  <si>
    <t xml:space="preserve">NamespaceLabel</t>
  </si>
  <si>
    <t xml:space="preserve">NamespaceDescription</t>
  </si>
  <si>
    <t xml:space="preserve">Domain</t>
  </si>
  <si>
    <t xml:space="preserve">DomainNamespace</t>
  </si>
  <si>
    <t xml:space="preserve">DomainLabel</t>
  </si>
  <si>
    <t xml:space="preserve">DomainDescription</t>
  </si>
  <si>
    <t xml:space="preserve">ParentDomain</t>
  </si>
  <si>
    <t xml:space="preserve">DomainEvent</t>
  </si>
  <si>
    <t xml:space="preserve">DomainEventLabel</t>
  </si>
  <si>
    <t xml:space="preserve">DomainEventDescription</t>
  </si>
  <si>
    <t xml:space="preserve">DomainParticipant</t>
  </si>
  <si>
    <t xml:space="preserve">DomainParticipantLabel</t>
  </si>
  <si>
    <t xml:space="preserve">DomainParticipantDescription</t>
  </si>
  <si>
    <t xml:space="preserve">Model</t>
  </si>
  <si>
    <t xml:space="preserve">ModelLabel</t>
  </si>
  <si>
    <t xml:space="preserve">ModelDescription</t>
  </si>
  <si>
    <t xml:space="preserve">ModelType</t>
  </si>
  <si>
    <t xml:space="preserve">Class</t>
  </si>
  <si>
    <t xml:space="preserve">ClassLabel</t>
  </si>
  <si>
    <t xml:space="preserve">ClassDescription</t>
  </si>
  <si>
    <t xml:space="preserve">Attribute</t>
  </si>
  <si>
    <t xml:space="preserve">AttributeLabel</t>
  </si>
  <si>
    <t xml:space="preserve">AttributeDescription</t>
  </si>
  <si>
    <t xml:space="preserve">Sequence</t>
  </si>
  <si>
    <t xml:space="preserve">DataType</t>
  </si>
  <si>
    <t xml:space="preserve">ValidValues</t>
  </si>
  <si>
    <t xml:space="preserve">ISO Mapping</t>
  </si>
  <si>
    <t xml:space="preserve">Requires Fix/Rework after updates w/c 21/02/2024</t>
  </si>
  <si>
    <t xml:space="preserve">Nulls</t>
  </si>
  <si>
    <t xml:space="preserve">IsPK</t>
  </si>
  <si>
    <t xml:space="preserve">Relationship</t>
  </si>
  <si>
    <t xml:space="preserve">_uniquetest</t>
  </si>
  <si>
    <t xml:space="preserve">RelationshipLabel</t>
  </si>
  <si>
    <t xml:space="preserve">RelationshipDescription</t>
  </si>
  <si>
    <t xml:space="preserve">RelationshipType</t>
  </si>
  <si>
    <t xml:space="preserve">FromNamespace</t>
  </si>
  <si>
    <t xml:space="preserve">FromClass</t>
  </si>
  <si>
    <t xml:space="preserve">FromAttribute</t>
  </si>
  <si>
    <t xml:space="preserve">FromCardinality</t>
  </si>
  <si>
    <t xml:space="preserve">ToNamespace</t>
  </si>
  <si>
    <t xml:space="preserve">ToClass</t>
  </si>
  <si>
    <t xml:space="preserve">ToAttribute</t>
  </si>
  <si>
    <t xml:space="preserve">ToCardinality</t>
  </si>
  <si>
    <t xml:space="preserve">Domains</t>
  </si>
  <si>
    <t xml:space="preserve">A namespace used to host an enterprise level collection of domains.</t>
  </si>
  <si>
    <t xml:space="preserve">PaymentsLogical</t>
  </si>
  <si>
    <t xml:space="preserve">A namespace used to uniquely identify objects within the Payments Logical data model.</t>
  </si>
  <si>
    <t xml:space="preserve">PaymentsDomain</t>
  </si>
  <si>
    <t xml:space="preserve">Payments</t>
  </si>
  <si>
    <t xml:space="preserve">Top level domain covering all aspects of the process of transacting cash between account-holding parties.</t>
  </si>
  <si>
    <t xml:space="preserve">Root</t>
  </si>
  <si>
    <t xml:space="preserve">Payment</t>
  </si>
  <si>
    <t xml:space="preserve">Core Payment Domain covering specific entities and properties attributable directly to a Payment Transaction</t>
  </si>
  <si>
    <t xml:space="preserve">MessagingDomain</t>
  </si>
  <si>
    <t xml:space="preserve">Messaging</t>
  </si>
  <si>
    <t xml:space="preserve">Messaging domain covers the various functional signals that are sent between participants in the course of negotiating, executing and querying payments within the context of a payments interface.</t>
  </si>
  <si>
    <t xml:space="preserve">InterfaceDomain</t>
  </si>
  <si>
    <t xml:space="preserve">Interface</t>
  </si>
  <si>
    <t xml:space="preserve">The Interface domain covers the systems, protocols, participants and controls that enable payments to be made between Account Servicing and Account Holding parties. </t>
  </si>
  <si>
    <t xml:space="preserve">AccountsDomain</t>
  </si>
  <si>
    <t xml:space="preserve">Accounts</t>
  </si>
  <si>
    <t xml:space="preserve">Accounts domain covers the theme of booking debits and credits into Accounts, where those accounts are held by and serviced by Account Servicing and Account Holding parties.</t>
  </si>
  <si>
    <t xml:space="preserve">PartyDomain</t>
  </si>
  <si>
    <t xml:space="preserve">Party</t>
  </si>
  <si>
    <t xml:space="preserve">Party domain describes entities that participate within the Payments domain. They might be Individuals or Organisations, and they will play different roles within the context of a Payment transaction. </t>
  </si>
  <si>
    <t xml:space="preserve">InvestigationDomain</t>
  </si>
  <si>
    <t xml:space="preserve">Investigation</t>
  </si>
  <si>
    <t xml:space="preserve">Where some non-systematic issue arises outside of the functions normally provided for within an Interface's Messaging capability, the Investigation domain will cover the types of activities and data retained to perform such activity.</t>
  </si>
  <si>
    <t xml:space="preserve">ProcessingDomain</t>
  </si>
  <si>
    <t xml:space="preserve">Processing</t>
  </si>
  <si>
    <t xml:space="preserve">Processing domain covers internal decision making, rule and logic capture performed by the Payment processing entity in the course of executing a payment. </t>
  </si>
  <si>
    <t xml:space="preserve">PostalAddress</t>
  </si>
  <si>
    <t xml:space="preserve">Information that locates and identifies a specific address, as defined by postal services.</t>
  </si>
  <si>
    <t xml:space="preserve">PostalAddressIdentifier</t>
  </si>
  <si>
    <t xml:space="preserve">Unique Internal Identifier (Primary Key)</t>
  </si>
  <si>
    <t xml:space="preserve">Identifier</t>
  </si>
  <si>
    <t xml:space="preserve">No</t>
  </si>
  <si>
    <t xml:space="preserve">Yes</t>
  </si>
  <si>
    <t xml:space="preserve">AddressType</t>
  </si>
  <si>
    <t xml:space="preserve">Identifies the nature of the postal address.
ADDR - Postal Address
PBOX - PO Box
BIZZ - Business etc</t>
  </si>
  <si>
    <t xml:space="preserve">String</t>
  </si>
  <si>
    <t xml:space="preserve">CareOf</t>
  </si>
  <si>
    <t xml:space="preserve">Identifies an addressee that is accepting the correspondence for the intended recipient</t>
  </si>
  <si>
    <t xml:space="preserve">Department</t>
  </si>
  <si>
    <t xml:space="preserve">Identification of a division of a large organisation or building</t>
  </si>
  <si>
    <t xml:space="preserve">PstlAdr.Dept</t>
  </si>
  <si>
    <t xml:space="preserve">SubDepartment</t>
  </si>
  <si>
    <t xml:space="preserve">Identification of a sub-division of a large organisation or building</t>
  </si>
  <si>
    <t xml:space="preserve">PstlAdr.SubDept</t>
  </si>
  <si>
    <t xml:space="preserve">BuildingNumber</t>
  </si>
  <si>
    <t xml:space="preserve">Number that identifies the position of a building on a street.</t>
  </si>
  <si>
    <t xml:space="preserve">BuildingName</t>
  </si>
  <si>
    <t xml:space="preserve">Name of the building or house.</t>
  </si>
  <si>
    <t xml:space="preserve">StreetName</t>
  </si>
  <si>
    <t xml:space="preserve">Name of a street or thoroughfare.</t>
  </si>
  <si>
    <t xml:space="preserve">Floor</t>
  </si>
  <si>
    <t xml:space="preserve">Floor or storey within a building.</t>
  </si>
  <si>
    <t xml:space="preserve">UnitNumber</t>
  </si>
  <si>
    <t xml:space="preserve">Identifies a flat or dwelling within the building.</t>
  </si>
  <si>
    <t xml:space="preserve">PostBox</t>
  </si>
  <si>
    <t xml:space="preserve">Numbered box in a post office, assigned to a person or organisation, where letters are kept until called for.</t>
  </si>
  <si>
    <t xml:space="preserve">Room</t>
  </si>
  <si>
    <t xml:space="preserve">Building room number.</t>
  </si>
  <si>
    <t xml:space="preserve">PostCode</t>
  </si>
  <si>
    <t xml:space="preserve">Identifier consisting of a group of letters and/or numbers that is added to a postal address to assist the sorting of mail.</t>
  </si>
  <si>
    <t xml:space="preserve">TownName</t>
  </si>
  <si>
    <t xml:space="preserve">Name of a built-up area, with defined boundaries, and a local government.</t>
  </si>
  <si>
    <t xml:space="preserve">TownLocationName</t>
  </si>
  <si>
    <t xml:space="preserve">Specific location name within the town.</t>
  </si>
  <si>
    <t xml:space="preserve">DistrictName</t>
  </si>
  <si>
    <t xml:space="preserve">Identifies a subdivision within a country sub-division.</t>
  </si>
  <si>
    <t xml:space="preserve">CountrySubDivision</t>
  </si>
  <si>
    <t xml:space="preserve">Identifies a subdivision of a country such as state, region, county.</t>
  </si>
  <si>
    <t xml:space="preserve">ISOCountryCode</t>
  </si>
  <si>
    <t xml:space="preserve">Nation with its own government.</t>
  </si>
  <si>
    <t xml:space="preserve">UnstructuredAddressLine1</t>
  </si>
  <si>
    <t xml:space="preserve">Address Line in free text format</t>
  </si>
  <si>
    <t xml:space="preserve">UnstructuredAddressLine2</t>
  </si>
  <si>
    <t xml:space="preserve">UnstructuredAddressLine3</t>
  </si>
  <si>
    <t xml:space="preserve">UnstructuredAddressLine4</t>
  </si>
  <si>
    <t xml:space="preserve">UnstructuredAddressLine5</t>
  </si>
  <si>
    <t xml:space="preserve">UnstructuredAddressLine6</t>
  </si>
  <si>
    <t xml:space="preserve">UnstructuredAddressLine7</t>
  </si>
  <si>
    <t xml:space="preserve">PartyIdentification</t>
  </si>
  <si>
    <t xml:space="preserve">Specifies the identification of a person or an organisation.</t>
  </si>
  <si>
    <t xml:space="preserve">PartyIdentificationInstanceID</t>
  </si>
  <si>
    <t xml:space="preserve">Name</t>
  </si>
  <si>
    <t xml:space="preserve">PartyType</t>
  </si>
  <si>
    <t xml:space="preserve">PartyIdentificationHasAddress</t>
  </si>
  <si>
    <t xml:space="preserve">Logical</t>
  </si>
  <si>
    <t xml:space="preserve">One</t>
  </si>
  <si>
    <t xml:space="preserve">OrgBIC</t>
  </si>
  <si>
    <t xml:space="preserve">Business identification code of the organisation</t>
  </si>
  <si>
    <t xml:space="preserve">Id.OrgId.AnyBIC</t>
  </si>
  <si>
    <t xml:space="preserve">LEIIdentifier</t>
  </si>
  <si>
    <t xml:space="preserve">Legal entity identification as an alternate identification for a party.</t>
  </si>
  <si>
    <t xml:space="preserve">SchemeIssuedIdentifier</t>
  </si>
  <si>
    <t xml:space="preserve">IdentifyingScheme</t>
  </si>
  <si>
    <t xml:space="preserve">IdentityIssuer</t>
  </si>
  <si>
    <t xml:space="preserve">DateOfBirth</t>
  </si>
  <si>
    <t xml:space="preserve">Date on which a person is born</t>
  </si>
  <si>
    <t xml:space="preserve">Date</t>
  </si>
  <si>
    <t xml:space="preserve">ProvinceOfBirth</t>
  </si>
  <si>
    <t xml:space="preserve">Province where a person was born.</t>
  </si>
  <si>
    <t xml:space="preserve">CityOfBirth</t>
  </si>
  <si>
    <t xml:space="preserve">City where a person was born.</t>
  </si>
  <si>
    <t xml:space="preserve">CountryOfBirth</t>
  </si>
  <si>
    <t xml:space="preserve">Country where a person was born.</t>
  </si>
  <si>
    <t xml:space="preserve">PaymentMessage</t>
  </si>
  <si>
    <t xml:space="preserve">Payment Message</t>
  </si>
  <si>
    <t xml:space="preserve">A referrence to any record of communication regards a payment, be it instructions, or requests for status that pass over an Integration Channel.</t>
  </si>
  <si>
    <t xml:space="preserve">UniquePaymentMessageIdentifier</t>
  </si>
  <si>
    <t xml:space="preserve">MessageIdentifyingReference</t>
  </si>
  <si>
    <t xml:space="preserve">Point to point reference, as assigned by the instructing party, and sent to the next party in the chain to unambiguously identify the message.
Usage: The instructing party has to make sure that MessageIdentification is unique per instructed party for a pre-agreed period</t>
  </si>
  <si>
    <t xml:space="preserve">MessageSender</t>
  </si>
  <si>
    <t xml:space="preserve">MessageHasSender</t>
  </si>
  <si>
    <t xml:space="preserve">Liink to the identification information supplied to identify a party</t>
  </si>
  <si>
    <t xml:space="preserve">InterfaceID</t>
  </si>
  <si>
    <t xml:space="preserve">The ID of the Interface over which this Instruction was delivered.</t>
  </si>
  <si>
    <t xml:space="preserve">MessageReceivedOverInterface</t>
  </si>
  <si>
    <t xml:space="preserve">ReceivedOverInterface</t>
  </si>
  <si>
    <t xml:space="preserve">The Interface over which this Instruction was communicated.</t>
  </si>
  <si>
    <t xml:space="preserve">Many</t>
  </si>
  <si>
    <t xml:space="preserve">MessageCreationDateTime</t>
  </si>
  <si>
    <t xml:space="preserve">DateTime</t>
  </si>
  <si>
    <t xml:space="preserve">MessageDefinitionISOClass</t>
  </si>
  <si>
    <t xml:space="preserve">ISO Class defining the message.
E.g pain.001.001.003, pacs.001.001.008</t>
  </si>
  <si>
    <t xml:space="preserve">PaymentInstructiontPaymentMessage</t>
  </si>
  <si>
    <t xml:space="preserve">Association Table between PaymentInstruction and PaymentMessage</t>
  </si>
  <si>
    <t xml:space="preserve">UniquePIPMID</t>
  </si>
  <si>
    <t xml:space="preserve">PaymentInstructionInternalIdentifier</t>
  </si>
  <si>
    <t xml:space="preserve">InstructionMessageInstruction</t>
  </si>
  <si>
    <t xml:space="preserve">PaymentInstruction</t>
  </si>
  <si>
    <t xml:space="preserve">InstructionMessageMessage</t>
  </si>
  <si>
    <t xml:space="preserve">PaymentInstructionGroup</t>
  </si>
  <si>
    <t xml:space="preserve">Payment Instruction Group</t>
  </si>
  <si>
    <t xml:space="preserve">Where payments are instructed as part of a group, the group is associated to the PaymentInstruction that instructed them. Grouped payments might optionally generate different booking entries (e.g. multiple credits offset against a single debit)</t>
  </si>
  <si>
    <t xml:space="preserve">PaymentInstructionGroupIdentifier</t>
  </si>
  <si>
    <t xml:space="preserve">Payment Instruction Group Identifier</t>
  </si>
  <si>
    <t xml:space="preserve">ParentPaymentInstructionGroupIdentifier</t>
  </si>
  <si>
    <t xml:space="preserve">Parent Payment Instruction Group Identifier</t>
  </si>
  <si>
    <t xml:space="preserve">An optional pointer to any higher-level group that this group my be a part of. Enables the establishment of a nested hierarchy of groups that mirrors the nested hierarchy of some message-types.</t>
  </si>
  <si>
    <t xml:space="preserve">InstructionGroupParent</t>
  </si>
  <si>
    <t xml:space="preserve">ParentGroup</t>
  </si>
  <si>
    <t xml:space="preserve">A pointer to the message in which this group was defined.</t>
  </si>
  <si>
    <t xml:space="preserve">InstructionGroupMessage</t>
  </si>
  <si>
    <t xml:space="preserve">Message</t>
  </si>
  <si>
    <t xml:space="preserve">Type</t>
  </si>
  <si>
    <t xml:space="preserve">BulkCount</t>
  </si>
  <si>
    <t xml:space="preserve">A count of the number of payments expected to be described by this group.</t>
  </si>
  <si>
    <t xml:space="preserve">Integer</t>
  </si>
  <si>
    <t xml:space="preserve">BulkMarker</t>
  </si>
  <si>
    <t xml:space="preserve">A flag indicating a positive value when BulkCount is greater than one, and a neutral/negative value when the BulkCount is equal to one. Identifies groups of size&gt;1
</t>
  </si>
  <si>
    <t xml:space="preserve">Boolean</t>
  </si>
  <si>
    <t xml:space="preserve">Represents a communication interface capable of receiving and transmitting messages defined by interface-specific Instruction Media. Each interface will have a number of registered participants who communicate over the interface using agreed media.</t>
  </si>
  <si>
    <t xml:space="preserve">InterfaceType</t>
  </si>
  <si>
    <t xml:space="preserve">PartyPartyIdent</t>
  </si>
  <si>
    <t xml:space="preserve">An association table between Party and instances of a Party's identification identified in messaging</t>
  </si>
  <si>
    <t xml:space="preserve">PartyPartyIdentID</t>
  </si>
  <si>
    <t xml:space="preserve">PartyIdentificationHasIdentificationInstance</t>
  </si>
  <si>
    <t xml:space="preserve">Identification</t>
  </si>
  <si>
    <t xml:space="preserve">PartyIdentifier</t>
  </si>
  <si>
    <t xml:space="preserve">PartyIdentificationHasParty</t>
  </si>
  <si>
    <t xml:space="preserve">An internally curated reference to a legal entity capable of performing a role within a range of contexts.</t>
  </si>
  <si>
    <t xml:space="preserve">PaymentPartyRole</t>
  </si>
  <si>
    <t xml:space="preserve">Payment Party Role</t>
  </si>
  <si>
    <t xml:space="preserve">An association between party and role, defining which parties are performing which roles within the processing of a payment from an objective perspective.</t>
  </si>
  <si>
    <t xml:space="preserve">PaymentPartyRoleID</t>
  </si>
  <si>
    <t xml:space="preserve">The payment that this association is applicable to.</t>
  </si>
  <si>
    <t xml:space="preserve">PaymentPartyRoleHasInstruction</t>
  </si>
  <si>
    <t xml:space="preserve">Link to the payment for which this party role association is applicable</t>
  </si>
  <si>
    <t xml:space="preserve">The party identification information specified to identify the party.</t>
  </si>
  <si>
    <t xml:space="preserve">PaymentPartyRoleHasIdentification</t>
  </si>
  <si>
    <t xml:space="preserve">PaymentRole</t>
  </si>
  <si>
    <t xml:space="preserve">The payment role that the party performs within this association. </t>
  </si>
  <si>
    <t xml:space="preserve">PartyRoleAccountID</t>
  </si>
  <si>
    <t xml:space="preserve">The (optional) payment account associated with this payment party role.</t>
  </si>
  <si>
    <t xml:space="preserve">PaymentPartyRoleHasAccount</t>
  </si>
  <si>
    <t xml:space="preserve">PaymentPartyRoleAccount</t>
  </si>
  <si>
    <t xml:space="preserve">An account referenced in the payment instruction in context of an account holder and servicer relationship.</t>
  </si>
  <si>
    <t xml:space="preserve">PartyRoleAccount</t>
  </si>
  <si>
    <t xml:space="preserve">Identifying information assocaited to an account referenced as belonging to a Party.</t>
  </si>
  <si>
    <t xml:space="preserve">AccountHoldingParty</t>
  </si>
  <si>
    <t xml:space="preserve">The party who owns this account, to whom the moneys and liabilities are due</t>
  </si>
  <si>
    <t xml:space="preserve">PartyRoleAccountHasAccountHolder</t>
  </si>
  <si>
    <t xml:space="preserve">AccountHolder</t>
  </si>
  <si>
    <t xml:space="preserve">AccountServicingParty</t>
  </si>
  <si>
    <t xml:space="preserve">The party who services this account on behalf of the Account Holder</t>
  </si>
  <si>
    <t xml:space="preserve">PartyRoleAccountHasAccountServicer</t>
  </si>
  <si>
    <t xml:space="preserve">AccountServicer</t>
  </si>
  <si>
    <t xml:space="preserve">AccountIdentificationIBAN</t>
  </si>
  <si>
    <t xml:space="preserve">Identification of the account in IBAN format</t>
  </si>
  <si>
    <t xml:space="preserve">Need to flatten this down to ID, Scheme and Issuer to normalise IBAN and other forms of account Id - see PaymentIdentifier for pattern</t>
  </si>
  <si>
    <t xml:space="preserve">AccountOtherIdentification</t>
  </si>
  <si>
    <t xml:space="preserve">Unique identification of an account, as assigned by the account servicer, using an identification scheme</t>
  </si>
  <si>
    <t xml:space="preserve">AccountOtherIdentificationSchemeName</t>
  </si>
  <si>
    <t xml:space="preserve">AccountOtherIdentificationIssuer</t>
  </si>
  <si>
    <t xml:space="preserve">AccountType</t>
  </si>
  <si>
    <t xml:space="preserve">Specifies the nature, or use of the account.</t>
  </si>
  <si>
    <t xml:space="preserve">AccountCurrency</t>
  </si>
  <si>
    <t xml:space="preserve">currency in which the account is held</t>
  </si>
  <si>
    <t xml:space="preserve">AccountName</t>
  </si>
  <si>
    <t xml:space="preserve">Name of the account, as assigned by the account servicing institution, in agreement with the account owner in order to provide an additional means of identification of the account</t>
  </si>
  <si>
    <t xml:space="preserve">AccountProxyType</t>
  </si>
  <si>
    <t xml:space="preserve">Type of the proxy identification</t>
  </si>
  <si>
    <t xml:space="preserve">AccountProxyID</t>
  </si>
  <si>
    <t xml:space="preserve">Identification used to indicate the account identification under another specified name</t>
  </si>
  <si>
    <t xml:space="preserve">Client</t>
  </si>
  <si>
    <t xml:space="preserve">A party with whom the bank has a direct banking relationship.</t>
  </si>
  <si>
    <t xml:space="preserve">ClientIdentifier</t>
  </si>
  <si>
    <t xml:space="preserve">CashAccountClientRole</t>
  </si>
  <si>
    <t xml:space="preserve">Association table linking Clients to Cash Accounts via one or more Roles</t>
  </si>
  <si>
    <t xml:space="preserve">CashAccountRoleIdentifier</t>
  </si>
  <si>
    <t xml:space="preserve">CashAccountIdentifier</t>
  </si>
  <si>
    <t xml:space="preserve">Unique internal identifier for the cash account</t>
  </si>
  <si>
    <t xml:space="preserve">CashAccountClientRoleHasAccount</t>
  </si>
  <si>
    <t xml:space="preserve">Account</t>
  </si>
  <si>
    <t xml:space="preserve">CashAccount</t>
  </si>
  <si>
    <t xml:space="preserve">Unique internal identifier for a client with an association with the account. </t>
  </si>
  <si>
    <t xml:space="preserve">CashAccountClientRoleHasClient</t>
  </si>
  <si>
    <t xml:space="preserve">CashAccountRole</t>
  </si>
  <si>
    <t xml:space="preserve">An appropriate Cash Account role to associate the Client with this Cash Account</t>
  </si>
  <si>
    <t xml:space="preserve">A cash account is a record of transactions in specific types of assets, maintained for the purpose of tracking bookings. Some cash accounts will have external Owners or Holders while other accounts can be regarded as Internal accounts for categorisation of balances and funds.</t>
  </si>
  <si>
    <t xml:space="preserve">AccountNumber</t>
  </si>
  <si>
    <t xml:space="preserve">Outwardly facing identifier for the account</t>
  </si>
  <si>
    <t xml:space="preserve">Currency</t>
  </si>
  <si>
    <t xml:space="preserve">The currency of the account.</t>
  </si>
  <si>
    <t xml:space="preserve">Booking</t>
  </si>
  <si>
    <t xml:space="preserve">An entity describing a group of offsetting CashEntries</t>
  </si>
  <si>
    <t xml:space="preserve">BookingIdentifier</t>
  </si>
  <si>
    <t xml:space="preserve">BookingDate</t>
  </si>
  <si>
    <t xml:space="preserve">The date on which the booking was posted</t>
  </si>
  <si>
    <t xml:space="preserve">UniqueInternalPaymentIdentifier</t>
  </si>
  <si>
    <t xml:space="preserve">An identifier that references a unique payment transaction recorded by the bank linking this booking to a specific payment transaction. </t>
  </si>
  <si>
    <t xml:space="preserve">BookingLinkedPayment</t>
  </si>
  <si>
    <t xml:space="preserve">LinkedPayment</t>
  </si>
  <si>
    <t xml:space="preserve">An identifier referencing an associated PaymentInstructionGroup, linking the booking to a group of payments.</t>
  </si>
  <si>
    <t xml:space="preserve">BookingLinkedGroup</t>
  </si>
  <si>
    <t xml:space="preserve">LinkedGroup</t>
  </si>
  <si>
    <t xml:space="preserve">BookingReference</t>
  </si>
  <si>
    <t xml:space="preserve">A reference by which the booking can be identified</t>
  </si>
  <si>
    <t xml:space="preserve">BookingSystem</t>
  </si>
  <si>
    <t xml:space="preserve">System code describing the system that made the booking</t>
  </si>
  <si>
    <t xml:space="preserve">PaymentBookingReference</t>
  </si>
  <si>
    <t xml:space="preserve">A reference used both by the internal payments system that can be used to connect all bookings associated with that payment. N.B. This reference ought to appear as one of the PaymentIdentification instances defined for a given Payment. </t>
  </si>
  <si>
    <t xml:space="preserve">PaymentBookingReferenceType</t>
  </si>
  <si>
    <t xml:space="preserve">A descriptor field used to classify the PaymentBookingReference</t>
  </si>
  <si>
    <t xml:space="preserve">The base currency of the booking</t>
  </si>
  <si>
    <t xml:space="preserve">ExchangerateUnitCurrency</t>
  </si>
  <si>
    <t xml:space="preserve">For cross-currency bookings (?) reference to the exchange currency</t>
  </si>
  <si>
    <t xml:space="preserve">ExchangeRate</t>
  </si>
  <si>
    <t xml:space="preserve">For cross-currency bookings (?) reference to the exchange currency rate</t>
  </si>
  <si>
    <t xml:space="preserve">Float</t>
  </si>
  <si>
    <t xml:space="preserve">ExchangeRateDate</t>
  </si>
  <si>
    <t xml:space="preserve">The date on which the exchange rate was fixed.</t>
  </si>
  <si>
    <t xml:space="preserve">CashEntry</t>
  </si>
  <si>
    <t xml:space="preserve">Posting of an item to a cash account, in the context of a cash transaction, that results in an increase or decrease to the balance of the account.</t>
  </si>
  <si>
    <t xml:space="preserve">CashEntryIdentifier</t>
  </si>
  <si>
    <t xml:space="preserve">CashEntryAccount</t>
  </si>
  <si>
    <t xml:space="preserve">EntryAccount</t>
  </si>
  <si>
    <t xml:space="preserve">Internal unique key for the booking (linking CR and DR entries posted offsetting one another) enabling a Cash Entry to be identified with its offset(s).</t>
  </si>
  <si>
    <t xml:space="preserve">CashEntryBooking</t>
  </si>
  <si>
    <t xml:space="preserve">EntryBooking</t>
  </si>
  <si>
    <t xml:space="preserve">DebitCreditMarker</t>
  </si>
  <si>
    <t xml:space="preserve">Signifier that the entry is a credit or debit entry on the account.</t>
  </si>
  <si>
    <t xml:space="preserve">Amount</t>
  </si>
  <si>
    <t xml:space="preserve">Amount of funds posted by the entry</t>
  </si>
  <si>
    <t xml:space="preserve">Decimal</t>
  </si>
  <si>
    <t xml:space="preserve">Currency describing the amount of the cash entry.</t>
  </si>
  <si>
    <t xml:space="preserve">EntrySystem</t>
  </si>
  <si>
    <t xml:space="preserve">System code describing the system that posted the entry</t>
  </si>
  <si>
    <t xml:space="preserve">EntryReference</t>
  </si>
  <si>
    <t xml:space="preserve">A reference by which the entry can be determined</t>
  </si>
  <si>
    <t xml:space="preserve">EntryDate</t>
  </si>
  <si>
    <t xml:space="preserve">The date on which the entry was posted</t>
  </si>
  <si>
    <t xml:space="preserve">ValueDate</t>
  </si>
  <si>
    <t xml:space="preserve">The date for which the entry will be applied for the calculation of interest</t>
  </si>
  <si>
    <t xml:space="preserve">Charges</t>
  </si>
  <si>
    <t xml:space="preserve">information on the charges to be paid by the charge bearer(s) related to the payment transaction.</t>
  </si>
  <si>
    <t xml:space="preserve">ChargesIdentifier</t>
  </si>
  <si>
    <t xml:space="preserve">Link to the "PaymenInstructiont" entity</t>
  </si>
  <si>
    <t xml:space="preserve">ChargesPaymentInstruction</t>
  </si>
  <si>
    <t xml:space="preserve">ChargePayment</t>
  </si>
  <si>
    <t xml:space="preserve">ChargeAmount</t>
  </si>
  <si>
    <t xml:space="preserve">Transaction charges to be paid by the charge bearer</t>
  </si>
  <si>
    <t xml:space="preserve">pacs.008.FIToFICstmrCdtTrf.ChrgsInf.Amt</t>
  </si>
  <si>
    <t xml:space="preserve">ChargeCurrency</t>
  </si>
  <si>
    <t xml:space="preserve">Currency of the ChargeAmount</t>
  </si>
  <si>
    <t xml:space="preserve">pacs.008.FIToFICstmrCdtTrf.ChrgsInf.Amt[Ccy]</t>
  </si>
  <si>
    <t xml:space="preserve">ChargingAgent</t>
  </si>
  <si>
    <t xml:space="preserve">Agent that takes the transaction charges or to which the transaction charges are due</t>
  </si>
  <si>
    <t xml:space="preserve">pacs.008.FIToFICstmrCdtTrf.ChrgsInf.Agt</t>
  </si>
  <si>
    <t xml:space="preserve">ChargesAgentIdentification</t>
  </si>
  <si>
    <t xml:space="preserve">ChargeAgent</t>
  </si>
  <si>
    <t xml:space="preserve">ChargeType</t>
  </si>
  <si>
    <t xml:space="preserve">type of charges. E.g COMM ( commission), CLEF ( Clearing Fee), CFEE (Cancellation fee) etc</t>
  </si>
  <si>
    <t xml:space="preserve">pacs.008.FIToFICstmrCdtTrf.ChrgsInf.Tp</t>
  </si>
  <si>
    <t xml:space="preserve">PaymentPartyRoleInstruction</t>
  </si>
  <si>
    <t xml:space="preserve">Additional Instructions relayed as part of a payment instruction for attention of agents. </t>
  </si>
  <si>
    <t xml:space="preserve">PaymentPartyRoleInstructionIdentifier</t>
  </si>
  <si>
    <t xml:space="preserve">PaymentPartyRoleInstructionPaymentPartyRole</t>
  </si>
  <si>
    <t xml:space="preserve">AssociatedPaymentPartyRole</t>
  </si>
  <si>
    <t xml:space="preserve">PaymentPartyRoleInstructionPaymentInstruction</t>
  </si>
  <si>
    <t xml:space="preserve">AssociatedPaymentInstruction</t>
  </si>
  <si>
    <t xml:space="preserve">InstructionCode</t>
  </si>
  <si>
    <t xml:space="preserve">InstructionInformation</t>
  </si>
  <si>
    <t xml:space="preserve">PaymentRegulatoryReporting</t>
  </si>
  <si>
    <t xml:space="preserve">Additional information associated with a Payment that relates to regulatory reporting</t>
  </si>
  <si>
    <t xml:space="preserve">PaymentRegulatoryReportingIdentifier</t>
  </si>
  <si>
    <t xml:space="preserve">Link to the "PaymentInstruction" entity</t>
  </si>
  <si>
    <t xml:space="preserve">PaymentRegulatoryReportingPaymentInstruction</t>
  </si>
  <si>
    <t xml:space="preserve">RegReportingAssociatedPayment</t>
  </si>
  <si>
    <t xml:space="preserve">RegulatoryReportingAuthorityName</t>
  </si>
  <si>
    <t xml:space="preserve">Name of the entity requiring the regulatory reporting information.</t>
  </si>
  <si>
    <t xml:space="preserve">pain.001.CstmrCdtTrfInitn.PmtInf.CdtTrfTxInf.RgltryRptg.Authrty.Nm OR
pacs.008.FIToFICstmrDrctDbt.DrctDbtTxInf.RgltryRptg.Authrty.Nm</t>
  </si>
  <si>
    <t xml:space="preserve">RegulatoryReportingAuthorityCountry</t>
  </si>
  <si>
    <t xml:space="preserve">Country of the entity that requires the regulatory reporting information
As per Danske requirement, for payments above a certain value , when transferring money( above a certain value) abroad from accounts held in Sweden and 
Norway, Danske has to send report to respective countries tax agency. Main details are the Reg Reporting Purpose Code + Add Information text</t>
  </si>
  <si>
    <t xml:space="preserve">pain.001.CstmrCdtTrfInitn.PmtInf.CdtTrfTxInf.RgltryRptg.Authrty.Ctry OR
pacs.008.FIToFICstmrDrctDbt.DrctDbtTxInf.RgltryRptg.Authrty.Ctry</t>
  </si>
  <si>
    <t xml:space="preserve">RegulatoryReportingDetailsCode</t>
  </si>
  <si>
    <t xml:space="preserve">Specifies the nature, purpose, and reason for the transaction to be reported for regulatory and statutory requirements in a coded form.
Danske requirement -
Sweden:Reporting to Skatteverket (Tax agency). 
For all transfers abroad from Sweden above SEK 150.000, or the equivalent, a report must be sent to Skatteverket, stating the purpose code.
Norway : For all transfers abroad from Norway above NOK 100.000, or the equivalent, a report must be sent to 
Valutaregisteret (Tax agency) , stating purpose of the payment (Information text) and a purpose code</t>
  </si>
  <si>
    <t xml:space="preserve">pain.001.CstmrCdtTrfInitn.PmtInf.CdtTrfTxInf.RgltryRptg.Dtls.Cd OR
pacs.008.FIToFICstmrDrctDbt.DrctDbtTxInf.RgltryRptg.Dtls.Cd</t>
  </si>
  <si>
    <t xml:space="preserve">RegulatoryReportingDetailsInf</t>
  </si>
  <si>
    <t xml:space="preserve">Additional details of the purpose of the payment</t>
  </si>
  <si>
    <t xml:space="preserve">pain.001.CstmrCdtTrfInitn.PmtInf.CdtTrfTxInf.RgltryRptg.Dtls.Inf OR
pacs.008.FIToFICstmrDrctDbt.DrctDbtTxInf.RgltryRptg.Dtls.Inf</t>
  </si>
  <si>
    <t xml:space="preserve">PaymentTax</t>
  </si>
  <si>
    <t xml:space="preserve">Additional information associated with a Payment that relates to tax</t>
  </si>
  <si>
    <t xml:space="preserve">PaymentTaxIdentifier</t>
  </si>
  <si>
    <t xml:space="preserve">To be discussed with Danske.
This information is only relevant between Debtor &amp; Creditor . Include only if there is a specific use case.
</t>
  </si>
  <si>
    <t xml:space="preserve">TaxPaymentInstruction</t>
  </si>
  <si>
    <t xml:space="preserve">TaxAssociatedPayment</t>
  </si>
  <si>
    <t xml:space="preserve">StructuredTaxData</t>
  </si>
  <si>
    <t xml:space="preserve">PaymentRemittance</t>
  </si>
  <si>
    <t xml:space="preserve">Additional information associated with a Payment that relates to remittance content</t>
  </si>
  <si>
    <t xml:space="preserve">RemittanceInformationIdentifier</t>
  </si>
  <si>
    <t xml:space="preserve">RemittancePaymentInstruction</t>
  </si>
  <si>
    <t xml:space="preserve">RemittanceAssociatedPayment</t>
  </si>
  <si>
    <t xml:space="preserve">RemittanceData</t>
  </si>
  <si>
    <t xml:space="preserve">A raw "block" of remittance content. Where different formats exist, see additional RemittanceContentType field to provide processing hints and to signal whether this Remittance data is directly attributed to the linked PaymentInstruction, or (for some Cover payment scenarios) is representative of an "underlying" PaymentInstruction.
</t>
  </si>
  <si>
    <t xml:space="preserve">RemittanceContentType</t>
  </si>
  <si>
    <t xml:space="preserve">A field used to describe the context of the RemittanceData provided (may be a combination of format and direct/underlying. 
</t>
  </si>
  <si>
    <t xml:space="preserve">ReturnReasonInformation</t>
  </si>
  <si>
    <t xml:space="preserve">Provides detailed information on the return reason</t>
  </si>
  <si>
    <t xml:space="preserve">ReturnReasonIdentifier</t>
  </si>
  <si>
    <t xml:space="preserve">The identifier of the payment instruction (pacs004) from which this ReturnReason was sourced</t>
  </si>
  <si>
    <t xml:space="preserve">ReturnReasonPaymentInstruction</t>
  </si>
  <si>
    <t xml:space="preserve">ReturnReasonInstruction</t>
  </si>
  <si>
    <t xml:space="preserve">Originator Party of the return</t>
  </si>
  <si>
    <t xml:space="preserve">PaymentInstructionPartyIdentification</t>
  </si>
  <si>
    <t xml:space="preserve">ReturningParty</t>
  </si>
  <si>
    <t xml:space="preserve">ReturnReason</t>
  </si>
  <si>
    <t xml:space="preserve">Reason for the return</t>
  </si>
  <si>
    <t xml:space="preserve">pacs.004.PmtRtr.TxInf.RtrRsnInf.Rsn.Cd</t>
  </si>
  <si>
    <t xml:space="preserve">AdditionalInformation</t>
  </si>
  <si>
    <t xml:space="preserve">Further details on the return reason</t>
  </si>
  <si>
    <t xml:space="preserve">pacs.004.PmtRtr.TxInf.RtrRsnInf.AddtlInf</t>
  </si>
  <si>
    <t xml:space="preserve">Payment information and processes required to transfer cash end to end from a debtor to the creditor.</t>
  </si>
  <si>
    <t xml:space="preserve">Unique Internal Payment Identifier</t>
  </si>
  <si>
    <t xml:space="preserve">The identifier that links to the payment that this instruction references</t>
  </si>
  <si>
    <t xml:space="preserve">PaymentInstructionAssociatedPayment</t>
  </si>
  <si>
    <t xml:space="preserve">AssociatedPayment</t>
  </si>
  <si>
    <t xml:space="preserve">The payment that this instruction is associated with.</t>
  </si>
  <si>
    <t xml:space="preserve">A reference to the payment instruction group within which this payment was initiated.</t>
  </si>
  <si>
    <t xml:space="preserve">PaymentInstructionPartOfGroup</t>
  </si>
  <si>
    <t xml:space="preserve">PartOfGroup</t>
  </si>
  <si>
    <t xml:space="preserve">Reference to the group that this payment is a part of</t>
  </si>
  <si>
    <t xml:space="preserve">InstructionIdentifier</t>
  </si>
  <si>
    <t xml:space="preserve">point to point reference that can be used between the
instructing party and the instructed party to refer to the individual instruction</t>
  </si>
  <si>
    <t xml:space="preserve">pacs.008.FIToFICstmrCdtTrf.CdtTrfTxInf.PmtId.InstrId</t>
  </si>
  <si>
    <t xml:space="preserve">EndToEndIdentifier</t>
  </si>
  <si>
    <t xml:space="preserve">Unique identification assigned by the initiating party to unambiguously identify the
transaction. This identification is passed on, unchanged, throughout the entire end-to-end chain</t>
  </si>
  <si>
    <t xml:space="preserve">pacs.008.FIToFICstmrCdtTrf.CdtTrfTxInf.PmtId.EndToEndId</t>
  </si>
  <si>
    <t xml:space="preserve">TransactionIdentifier</t>
  </si>
  <si>
    <t xml:space="preserve">Unique identification, as assigned by the first instructing agent, to unambiguously identify the
transaction that is passed on, unchanged, throughout the entire interbank chain.
Usage: The transaction identification can be used for reconciliation, tracking or to link tasks relating to
the transaction on the interbank level</t>
  </si>
  <si>
    <t xml:space="preserve">pacs.008.FIToFICstmrCdtTrf.CdtTrfTxInf.PmtId.TxId</t>
  </si>
  <si>
    <t xml:space="preserve">UETR</t>
  </si>
  <si>
    <t xml:space="preserve">Universally unique identifier to provide an end-to-end reference of a payment transaction. Will be passed unchanged thoughout the entire end-to-end chain</t>
  </si>
  <si>
    <t xml:space="preserve">pacs.008.FIToFICstmrCdtTrf.CdtTrfTxInf.PmtId.UETR</t>
  </si>
  <si>
    <t xml:space="preserve">ClearingSystemReference</t>
  </si>
  <si>
    <t xml:space="preserve">Unique reference, as assigned by a clearing system, to unambiguously identify the
instruction</t>
  </si>
  <si>
    <t xml:space="preserve">pacs.008.FIToFICstmrCdtTrf.CdtTrfTxInf.PmtId.ClrSysRef</t>
  </si>
  <si>
    <t xml:space="preserve">PaymentMethod</t>
  </si>
  <si>
    <t xml:space="preserve">Specifies the means that will be used to move the amount of money. Possible values - TRF (Credit Transfer), CHK (Cheque), DD (Direct Debit)</t>
  </si>
  <si>
    <t xml:space="preserve">InstructionPriority</t>
  </si>
  <si>
    <t xml:space="preserve">Indicator of the urgency or order of importance that the instructing party would like the
instructed party to apply to the processing of the instruction. HIGH/NORMAL
In pain messages, Danske only accept NORM. If HIGH code sent, its ignored &lt;could potentially be different in incoming &amp; in outgoing instruction&gt;</t>
  </si>
  <si>
    <t xml:space="preserve">pacs.008.FIToFICstmrCdtTrf.CdtTrfTxInf.PmtTpInf.InstrPrty</t>
  </si>
  <si>
    <t xml:space="preserve">ClearingChannelCode</t>
  </si>
  <si>
    <t xml:space="preserve">Specifies the clearing channel to be used to process the payment instruction. Values - RTGS, BOOK,RTNS,MPNS</t>
  </si>
  <si>
    <t xml:space="preserve">pacs.008.FIToFICstmrCdtTrf.CdtTrfTxInf.PmtTpInf.ClrChanl</t>
  </si>
  <si>
    <t xml:space="preserve">ServiceLevel</t>
  </si>
  <si>
    <t xml:space="preserve">Agreement under which or rules under which the transaction should be processed. E.g URGP ( urgent - processed as RTGS), SDVA ( Same day) etc</t>
  </si>
  <si>
    <t xml:space="preserve">pacs.008.FIToFICstmrCdtTrf.CdtTrfTxInf.PmtTpInf.SvcLvl</t>
  </si>
  <si>
    <t xml:space="preserve">LocalInstrument</t>
  </si>
  <si>
    <t xml:space="preserve">local instrument, local clearing option and/or further qualify the service or service level. e.g INST - used for SEPA Instant </t>
  </si>
  <si>
    <t xml:space="preserve">pacs.008.FIToFICstmrCdtTrf.CdtTrfTxInf.PmtTpInf.LclInstrm</t>
  </si>
  <si>
    <t xml:space="preserve">DDSequenceTypeCode</t>
  </si>
  <si>
    <t xml:space="preserve">Identifies the direct debit sequence, such as FRST( first), RCUR(recurrent), FNAL(final) , OOFF(one-off)</t>
  </si>
  <si>
    <t xml:space="preserve">pain.008.CstmrDrctDbtInitn.PmtInf.DrctDbtTxInf.PmtTpInf.SeqTp</t>
  </si>
  <si>
    <t xml:space="preserve">CategoryPurpose</t>
  </si>
  <si>
    <t xml:space="preserve">high level purpose of the instruction. This is used by the 
initiating party to provide information concerning the 
processing of the payment. It is likely to trigger special 
processing by any of the agents involved in the 
payment chaine.g "SALA" salary payments,"PENS"-pension,"TAXS"-tax, "CONF" – Identifies  confidential payments etc</t>
  </si>
  <si>
    <t xml:space="preserve">pacs.008.FIToFICstmrCdtTrf.CdtTrfTxInf.PmtTpInf.CtgyPurp</t>
  </si>
  <si>
    <t xml:space="preserve">Purpose</t>
  </si>
  <si>
    <t xml:space="preserve">Purpose is used by the end-customers, that is initiating party, (ultimate) debtor, (ultimate)
creditor to provide information concerning the nature of the payment. Purpose is a content element,
which is not used for processing by any of the agents involved in the payment chain. Conditional based on country rules; may also be bank determined</t>
  </si>
  <si>
    <t xml:space="preserve">pacs.008.FIToFICstmrCdtTrf.CdtTrfTxInf.Purp</t>
  </si>
  <si>
    <t xml:space="preserve">SettlementMethod</t>
  </si>
  <si>
    <t xml:space="preserve">method used to settle the credit transfer instruction.
CLRG - Clearing system, 
COVE - Cover method
INDA - Instructed Agent
INGA - Instructing Agent
&lt;for payments cleared within danske (On-us) or payments where Danske is final agent in the chain ( Creditor/DebtorAgent), then we may have to use a separate code indicating "Internal Book Transfer"</t>
  </si>
  <si>
    <t xml:space="preserve">pacs.008.FIToFICstmrCdtTrf.GrpHdr.SttlmInf.SttlmMtd</t>
  </si>
  <si>
    <t xml:space="preserve">ClearingSystem</t>
  </si>
  <si>
    <t xml:space="preserve">SettlementClearingSystem</t>
  </si>
  <si>
    <t xml:space="preserve">Specification of a pre-agreed offering between clearing agents or the channel through which the payment instruction is processed.
E.g for SEPA CT - "ST2"
for CHAPS - "STG", for T2 - "TGT"</t>
  </si>
  <si>
    <t xml:space="preserve">pacs.008.FIToFICstmrCdtTrf.GrpHdr.SttlmInf.ClrSys</t>
  </si>
  <si>
    <t xml:space="preserve">RequestedExecutionDate</t>
  </si>
  <si>
    <t xml:space="preserve">Date at which the initiating party requests the clearing agent to process the payment.
This is the date on which the debtor's account is to be debited. If payment by cheque, the date
when the cheque must be generated by the bank</t>
  </si>
  <si>
    <t xml:space="preserve">pain.001.CstmrCdtTrfInitn.PmtInf.ReqdExctnDt</t>
  </si>
  <si>
    <t xml:space="preserve">BatchBookingFlag</t>
  </si>
  <si>
    <t xml:space="preserve">Identifies whether a single entry per individual transaction or a batch entry for the sum of the
amounts of all transactions within the group of a message is requested</t>
  </si>
  <si>
    <t xml:space="preserve">pacs.008.FIToFICstmrCdtTrf.GrpHdr.BtchBookg / pain.001.CstmrCdtTrfInitn.PmtInf.BtchBookg</t>
  </si>
  <si>
    <t xml:space="preserve">SettlementAmount</t>
  </si>
  <si>
    <t xml:space="preserve">Amount of money moved between the instructing agent and the instructed agent.
&lt;For Onus payments, this is the amount of money moved between debtor &amp; credtior within the bank&gt;</t>
  </si>
  <si>
    <t xml:space="preserve">pacs.008.FIToFICstmrCdtTrf.IntrBkSttlmAmt</t>
  </si>
  <si>
    <t xml:space="preserve">SettlementAmountCurrency</t>
  </si>
  <si>
    <t xml:space="preserve">Currency of the SettlementAmount</t>
  </si>
  <si>
    <t xml:space="preserve">SettlementDate</t>
  </si>
  <si>
    <t xml:space="preserve">Date of settlement (when the money is transferred between the agents)</t>
  </si>
  <si>
    <t xml:space="preserve">pacs.008.FIToFICstmrCdtTrf.IntrBkSttlmDt</t>
  </si>
  <si>
    <t xml:space="preserve">SettlementPriority</t>
  </si>
  <si>
    <t xml:space="preserve">Indicator of the urgency or order of importance that the instructing party would like the instructed party to apply to the processing of the settlement instruction.
Values HIGH, NORMAL, URGENT</t>
  </si>
  <si>
    <t xml:space="preserve">pacs.008.FIToFICstmrCdtTrf.SttlmPrty</t>
  </si>
  <si>
    <t xml:space="preserve">SettlementDateTimeDebit</t>
  </si>
  <si>
    <t xml:space="preserve">Date and time at which a payment has been debited at the clearing agent</t>
  </si>
  <si>
    <t xml:space="preserve">pacs.008.FIToFICstmrCdtTrf.SttlmTmIndctn.DbtDtTm</t>
  </si>
  <si>
    <t xml:space="preserve">SettlementDateTimeCredit</t>
  </si>
  <si>
    <t xml:space="preserve">Date and time at which a payment has been credited at the clearing agent</t>
  </si>
  <si>
    <t xml:space="preserve">pacs.008.FIToFICstmrCdtTrf.SttlmTmIndctn.CdtDtTm</t>
  </si>
  <si>
    <t xml:space="preserve"> </t>
  </si>
  <si>
    <t xml:space="preserve">SettlementTimeRequest</t>
  </si>
  <si>
    <t xml:space="preserve">information on the requested settlement time(s) of the payment instruction
&lt;Can have multiple rows - From Time, Till Time, Reject Time etc. 
Suggestion - Remove this attribute from the Payment Entity as the "SettlementTimeRequest" isnt significant for Danske PDP&gt;</t>
  </si>
  <si>
    <t xml:space="preserve">pacs.008.FIToFICstmrCdtTrf.SttlmTmReq</t>
  </si>
  <si>
    <t xml:space="preserve">AcceptanceDateTime</t>
  </si>
  <si>
    <t xml:space="preserve">Specifically used in Instant Payments. Indicates the exact time at which the Originator PSP(e.g DebtorAgent has accepted the instant credit transfer instruction from the Originator(Debtor). This is passed onto the clearing system &amp; for Instant payment systems this value is used to check against the SLA for completing the payment</t>
  </si>
  <si>
    <t xml:space="preserve">pacs.008.FIToFICstmrCdtTrf.AccptncDtTm</t>
  </si>
  <si>
    <t xml:space="preserve">PoolingAdjustmentDate</t>
  </si>
  <si>
    <t xml:space="preserve">Date used for the correction of the value date of a cash pool movement that has been posted with a different value date.
&lt;Though present in ISO20022, this field isnt used in Swift correspondent banking + most known clearing systems&gt;</t>
  </si>
  <si>
    <t xml:space="preserve">pacs.008.FIToFICstmrCdtTrf.PoolgAdjstmntDt</t>
  </si>
  <si>
    <t xml:space="preserve">InstructedAmount</t>
  </si>
  <si>
    <t xml:space="preserve">Amount of money to be moved between the debtor and creditor, before deduction of
charges, expressed in the currency of transfer as ordered by the initiating party. E.g 100 USD ( the debtor account may be in different currency to USD though)</t>
  </si>
  <si>
    <t xml:space="preserve">pacs.008.FIToFICstmrCdtTrf.InstdAmt</t>
  </si>
  <si>
    <t xml:space="preserve">InstructedAmountCurrency</t>
  </si>
  <si>
    <t xml:space="preserve">Currency of the InstructedAmount.
If EquivalentAmount is provided instead, then this is the "Currency of Transfer"</t>
  </si>
  <si>
    <t xml:space="preserve">pacs.008.FIToFICstmrCdtTrf.InstdAmt[Ccy]</t>
  </si>
  <si>
    <t xml:space="preserve">EquivalentAmount</t>
  </si>
  <si>
    <t xml:space="preserve">Amount of money to be moved between the debtor and creditor, expressed in the currency of
the debtor's account, and the currency in which the amount is to be moved. E.g 100 DKK to be transferred in USD . DKK is debtor account currency and USD is transfer currency</t>
  </si>
  <si>
    <t xml:space="preserve">EquivalentAmountCurrency</t>
  </si>
  <si>
    <t xml:space="preserve">Currency of the EquivalentAmount e.g DKK</t>
  </si>
  <si>
    <t xml:space="preserve">Currency in which the rate of exchange is expressed in a currency exchange. In the example
1GBP = xxxDKK, the unit currency is GBP</t>
  </si>
  <si>
    <t xml:space="preserve">pacs.008.FIToFICstmrCdtTrf.XchgRate</t>
  </si>
  <si>
    <t xml:space="preserve">The factor used for conversion of an amount 
from one currency to another</t>
  </si>
  <si>
    <t xml:space="preserve">ExchangeRateType</t>
  </si>
  <si>
    <t xml:space="preserve">Type used to complete the currency exchange. SPOT, AGRD (agreed),SALE</t>
  </si>
  <si>
    <t xml:space="preserve">ExchangeRateContractIdentification</t>
  </si>
  <si>
    <t xml:space="preserve">If Exchange Rate Type is AGRD, then Unique and unambiguous reference to the foreign exchange contract agreed between the initiating party/creditor and the debtor agent</t>
  </si>
  <si>
    <t xml:space="preserve">ChargeBearerCode</t>
  </si>
  <si>
    <t xml:space="preserve">Specifies which party/parties will bear the charges associated with the processing of the payment transaction. 
CRED (Creditor) &lt;equivalent of BEN&gt;
DEBT (Debtor) &lt;equivalent of OUR&gt;
SHAR (Shared) &lt;equivalent of SHA&gt;</t>
  </si>
  <si>
    <t xml:space="preserve">pacs.008.FIToFICstmrCdtTrf.ChrgBr</t>
  </si>
  <si>
    <t xml:space="preserve">DDPreNtfctnId</t>
  </si>
  <si>
    <t xml:space="preserve">Unique and unambiguous identification of the pre-notification which is sent separately from the direct debit instruction. The direct debit pre-notification is used to reconcile separately sent collection information with the direct debit transaction information</t>
  </si>
  <si>
    <t xml:space="preserve">pain.008.CstmrDrctDbtInitn.PmtInf.DrctDbtTxInf.DrctDbtTx.PreNtfctnId</t>
  </si>
  <si>
    <t xml:space="preserve">DDPreNtfctnDt</t>
  </si>
  <si>
    <t xml:space="preserve">Date on which the creditor notifies the debtor about the amount and date on which the direct
debit instruction will be presented to the debtor's agent</t>
  </si>
  <si>
    <t xml:space="preserve">pain.008.CstmrDrctDbtInitn.PmtInf.DrctDbtTxInf.DrctDbtTx.PreNtfctnDt</t>
  </si>
  <si>
    <t xml:space="preserve">ReturnPaymentIdentification</t>
  </si>
  <si>
    <t xml:space="preserve">Unique identification, as assigned by an instructing party for an instructed party, to unambiguously identify the returned transaction</t>
  </si>
  <si>
    <t xml:space="preserve">pacs.002.FIToFIPmtStsRpt.TxInfAndSts.StsRsnInf.AddtlInf</t>
  </si>
  <si>
    <t xml:space="preserve">MandateIdentifier</t>
  </si>
  <si>
    <t xml:space="preserve">A reference used to identify a Mandate</t>
  </si>
  <si>
    <t xml:space="preserve">MandateType</t>
  </si>
  <si>
    <t xml:space="preserve">The subtype of Mandate being referred to.</t>
  </si>
  <si>
    <t xml:space="preserve">Underlying_InstructedAmount</t>
  </si>
  <si>
    <t xml:space="preserve">UnderlyingInstructedAmount</t>
  </si>
  <si>
    <t xml:space="preserve">The underlying amount quoted in a COV payment's associated direct message.</t>
  </si>
  <si>
    <t xml:space="preserve">Unerlying_InstructedAmountCurrency</t>
  </si>
  <si>
    <t xml:space="preserve">UnerlyingInstructedAmountCurrency</t>
  </si>
  <si>
    <t xml:space="preserve">The underlying amount currency quoted in a COV payment's associated direct message.</t>
  </si>
  <si>
    <t xml:space="preserve">PaymentPartOfGroup</t>
  </si>
  <si>
    <t xml:space="preserve">Identifies whether this payment is part of a batch booking group.</t>
  </si>
  <si>
    <t xml:space="preserve">PaymentDate</t>
  </si>
  <si>
    <t xml:space="preserve">Date of settlement (when the money is transferred between accounts)</t>
  </si>
  <si>
    <t xml:space="preserve">ImmediateDebtorClientId</t>
  </si>
  <si>
    <t xml:space="preserve">PaymentImmediateDebtorClientId</t>
  </si>
  <si>
    <t xml:space="preserve">ImmediateDebtorCashAccountId</t>
  </si>
  <si>
    <t xml:space="preserve">PaymentImmediateDebtorCashAccountId</t>
  </si>
  <si>
    <t xml:space="preserve">ImmediateCreditorClientId</t>
  </si>
  <si>
    <t xml:space="preserve">PaymentImmediateCreditorClientId</t>
  </si>
  <si>
    <t xml:space="preserve">ImmediateCreditorCashAccountId</t>
  </si>
  <si>
    <t xml:space="preserve">PaymentImmediateCreditorCashAccountId</t>
  </si>
  <si>
    <t xml:space="preserve">InitiatingInterfaceID</t>
  </si>
  <si>
    <t xml:space="preserve">Proprietary</t>
  </si>
  <si>
    <t xml:space="preserve">PaymentInitiatingInterface</t>
  </si>
  <si>
    <t xml:space="preserve">InitiatingInterface</t>
  </si>
  <si>
    <t xml:space="preserve">InboundInterfaceID</t>
  </si>
  <si>
    <t xml:space="preserve">PaymentInboundInterface</t>
  </si>
  <si>
    <t xml:space="preserve">InboundInterface</t>
  </si>
  <si>
    <t xml:space="preserve">OutboundInterfaceID</t>
  </si>
  <si>
    <t xml:space="preserve">PaymentOutboundInterface</t>
  </si>
  <si>
    <t xml:space="preserve">OutboundInterface</t>
  </si>
  <si>
    <t xml:space="preserve">PaymentStatus</t>
  </si>
  <si>
    <t xml:space="preserve">Specifies the status of a transaction, in a coded form.</t>
  </si>
  <si>
    <t xml:space="preserve">pacs.002.FIToFIPmtStsRpt.TxInfAndSts.TxSts</t>
  </si>
  <si>
    <t xml:space="preserve">PaymentStatusReason</t>
  </si>
  <si>
    <t xml:space="preserve">Reason for the status. Populated in case of RJCT with the rejection reason - normally as Code</t>
  </si>
  <si>
    <t xml:space="preserve">pacs.002.FIToFIPmtStsRpt.TxInfAndSts.StsRsnInf.Rsn.Cd</t>
  </si>
  <si>
    <t xml:space="preserve">PaymentStatusReasonInf</t>
  </si>
  <si>
    <t xml:space="preserve">Further details on the status reason.</t>
  </si>
  <si>
    <t xml:space="preserve">PaymentIdentification</t>
  </si>
  <si>
    <t xml:space="preserve">Specifies the different identifications associated with a payment transaction.</t>
  </si>
  <si>
    <t xml:space="preserve">PaymentIdentificationIdentifier</t>
  </si>
  <si>
    <t xml:space="preserve">IdentifyingReferenceType</t>
  </si>
  <si>
    <t xml:space="preserve">The type of reference this identifier follows</t>
  </si>
  <si>
    <t xml:space="preserve">IdentifyingReferenceValue</t>
  </si>
  <si>
    <t xml:space="preserve">The value of the identifying reference</t>
  </si>
  <si>
    <t xml:space="preserve">The payment to which this reference has been attributed</t>
  </si>
  <si>
    <t xml:space="preserve">PaymentIdentificationAttributedToPayment</t>
  </si>
  <si>
    <t xml:space="preserve">AttributedToPayment</t>
  </si>
  <si>
    <t xml:space="preserve">PaymentBooking</t>
  </si>
  <si>
    <t xml:space="preserve">Association Table between Payment and Booking</t>
  </si>
  <si>
    <t xml:space="preserve">PaymentBookingIdentifier</t>
  </si>
  <si>
    <t xml:space="preserve">The associated Booking</t>
  </si>
  <si>
    <t xml:space="preserve">PBLinkedBooking</t>
  </si>
  <si>
    <t xml:space="preserve">AssociatedBooking</t>
  </si>
  <si>
    <t xml:space="preserve">The associated Payment</t>
  </si>
  <si>
    <t xml:space="preserve">PBLinkedPayment</t>
  </si>
  <si>
    <t xml:space="preserve">ClientParty</t>
  </si>
  <si>
    <t xml:space="preserve">AssociationTable between Client and Party</t>
  </si>
  <si>
    <t xml:space="preserve">ClientPartyIdentifier</t>
  </si>
  <si>
    <t xml:space="preserve">ClientPartyLinkedClient</t>
  </si>
  <si>
    <t xml:space="preserve">LinkedClient</t>
  </si>
  <si>
    <t xml:space="preserve">ClientPartyLinkedParty</t>
  </si>
  <si>
    <t xml:space="preserve">LinkedParty</t>
  </si>
  <si>
    <t xml:space="preserve">PaymentInvestigationCase</t>
  </si>
  <si>
    <t xml:space="preserve">Payment Investigation Case</t>
  </si>
  <si>
    <t xml:space="preserve">Set of activities performed to handle an exception to a normal payment transaction flow, such as: - a payment has not been received. - a payment has been received but is incorrect. - a payment must be corrected or cancelled (requested by the party which ordered the payment).
An investigation case raised against a specific payment or collection of payments. Investigation types might include request for update, or to oversee the process of requesting and performing cancellations. </t>
  </si>
  <si>
    <t xml:space="preserve">DataTypes</t>
  </si>
  <si>
    <t xml:space="preserve">Data Type</t>
  </si>
  <si>
    <t xml:space="preserve">Description</t>
  </si>
  <si>
    <t xml:space="preserve">An internal database identifier, generally used only to link associated rows between tables.</t>
  </si>
  <si>
    <t xml:space="preserve">An integer value numeric</t>
  </si>
  <si>
    <t xml:space="preserve">Numeric</t>
  </si>
  <si>
    <t xml:space="preserve">Decimal Numeric (fixed decimal point)</t>
  </si>
  <si>
    <t xml:space="preserve">A true/false Value</t>
  </si>
  <si>
    <t xml:space="preserve">Instance</t>
  </si>
  <si>
    <t xml:space="preserve">References</t>
  </si>
  <si>
    <t xml:space="preserve">M/O</t>
  </si>
  <si>
    <t xml:space="preserve">Notes</t>
  </si>
  <si>
    <t xml:space="preserve">Consider removing?</t>
  </si>
  <si>
    <t xml:space="preserve">InboundMessageSender</t>
  </si>
  <si>
    <t xml:space="preserve">O</t>
  </si>
  <si>
    <t xml:space="preserve">Optional</t>
  </si>
  <si>
    <t xml:space="preserve">InboundMessageReceiver</t>
  </si>
  <si>
    <t xml:space="preserve">Need to add MessageReceiver to PaymentMessage object</t>
  </si>
  <si>
    <t xml:space="preserve">OutboundMessageSender</t>
  </si>
  <si>
    <t xml:space="preserve">OutboundMessageReceiver</t>
  </si>
  <si>
    <t xml:space="preserve">InboundPaymentMessage</t>
  </si>
  <si>
    <t xml:space="preserve">InboundMessageSender, InboundMessageReceiver, InboundInterface</t>
  </si>
  <si>
    <t xml:space="preserve">IPM</t>
  </si>
  <si>
    <t xml:space="preserve">OutboundPaymentMessage</t>
  </si>
  <si>
    <t xml:space="preserve">OutboundMessageSender, OutboundMessageReceiver, OutboundInterface</t>
  </si>
  <si>
    <t xml:space="preserve">InboundPaymentInstructionGroup</t>
  </si>
  <si>
    <t xml:space="preserve">ImmediateDebtor</t>
  </si>
  <si>
    <t xml:space="preserve">Cash Account</t>
  </si>
  <si>
    <t xml:space="preserve">ImmediateDebtorCashAccount</t>
  </si>
  <si>
    <t xml:space="preserve">ImmediateCreditor</t>
  </si>
  <si>
    <t xml:space="preserve">ImmediateCreditorCashAccount</t>
  </si>
  <si>
    <t xml:space="preserve">InboundInterface, OutboundInterface, InboundPaymentInstructionGroup, ImmediateDebtor, ImmediateCreditor, ImmediateDebtorCashAccount, ImmediadeCreditorCashAccount</t>
  </si>
  <si>
    <t xml:space="preserve">InboundPaymentInstruction</t>
  </si>
  <si>
    <t xml:space="preserve">Payment, PaymentInstructionGroup, InboundInterface</t>
  </si>
  <si>
    <t xml:space="preserve">Elsewhere referenced as IPI</t>
  </si>
  <si>
    <t xml:space="preserve">OutboundPaymentInstruction</t>
  </si>
  <si>
    <t xml:space="preserve">Payment, OutboundInterface</t>
  </si>
  <si>
    <t xml:space="preserve">Elsewhere referenced as OPI</t>
  </si>
  <si>
    <t xml:space="preserve">These may not be a complete list, but demonstrate that a single payment may be known by, or associated with multiple payment identifiers. </t>
  </si>
  <si>
    <t xml:space="preserve">InternalSystemReference</t>
  </si>
  <si>
    <t xml:space="preserve">Payment, InboundPaymentInstructionGroup</t>
  </si>
  <si>
    <t xml:space="preserve">Multiple instances potentially, depending on booking practice</t>
  </si>
  <si>
    <t xml:space="preserve">Payment, Booking</t>
  </si>
  <si>
    <t xml:space="preserve">Booking, CashAccount</t>
  </si>
  <si>
    <t xml:space="preserve">IPIPaymentInstructiontPaymentMessage</t>
  </si>
  <si>
    <t xml:space="preserve">InboundPaymentInstruction, InboundPaymentMessage</t>
  </si>
  <si>
    <t xml:space="preserve">IPIPaymentRegulatoryReporting</t>
  </si>
  <si>
    <t xml:space="preserve">IPIPaymentTax</t>
  </si>
  <si>
    <t xml:space="preserve">IPIPaymentRemittance</t>
  </si>
  <si>
    <t xml:space="preserve">IPIReturningPartyPostalAddress</t>
  </si>
  <si>
    <t xml:space="preserve">IPIReturningPartyPartyIdentification</t>
  </si>
  <si>
    <t xml:space="preserve">IPIReturnReasonInformation</t>
  </si>
  <si>
    <t xml:space="preserve">IPIReturningPartyPartyIdentification, InboundPaymentInstruction</t>
  </si>
  <si>
    <t xml:space="preserve">IPIChargeAgentPostalAddress</t>
  </si>
  <si>
    <t xml:space="preserve">IPIChargeAgentPartyIdentification</t>
  </si>
  <si>
    <t xml:space="preserve">IPICharges</t>
  </si>
  <si>
    <t xml:space="preserve">IPIChargeAgentPartyIdentification, InboundPaymentInstruction</t>
  </si>
  <si>
    <t xml:space="preserve">Debtor</t>
  </si>
  <si>
    <t xml:space="preserve">Creditor</t>
  </si>
  <si>
    <t xml:space="preserve">DebtorAgent</t>
  </si>
  <si>
    <t xml:space="preserve">CreditorAgent</t>
  </si>
  <si>
    <t xml:space="preserve">InitiatingParty</t>
  </si>
  <si>
    <t xml:space="preserve">UltimateDebtor</t>
  </si>
  <si>
    <t xml:space="preserve">UltimateCreditor</t>
  </si>
  <si>
    <t xml:space="preserve">IntermediaryAgent1</t>
  </si>
  <si>
    <t xml:space="preserve">IntermediaryAgent2</t>
  </si>
  <si>
    <t xml:space="preserve">IntermediaryAgent3</t>
  </si>
  <si>
    <t xml:space="preserve">InstructedAgent</t>
  </si>
  <si>
    <t xml:space="preserve">InstructingAgent</t>
  </si>
  <si>
    <t xml:space="preserve">PreviousInstructingAgent1</t>
  </si>
  <si>
    <t xml:space="preserve">PreviousInstructingAgent2</t>
  </si>
  <si>
    <t xml:space="preserve">PreviousInstructingAgent3</t>
  </si>
  <si>
    <t xml:space="preserve">InstructingReimbursementAgent</t>
  </si>
  <si>
    <t xml:space="preserve">InstructedReimbursementAgent</t>
  </si>
  <si>
    <t xml:space="preserve">ThirdReimbursementAgent</t>
  </si>
  <si>
    <t xml:space="preserve">ChargesAccountAgent</t>
  </si>
  <si>
    <t xml:space="preserve">Pointer to the appropriate PaymentPartyRole, depending on what's referenced in the instruction</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</si>
</sst>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FFFFFF"/>
      <name val="Arial"/>
      <family val="2"/>
      <charset val="1"/>
    </font>
  </fonts>
  <fills count="12">
    <fill>
      <patternFill patternType="none"/>
    </fill>
    <fill>
      <patternFill patternType="gray125"/>
    </fill>
    <fill>
      <patternFill patternType="solid">
        <fgColor rgb="FF418AFF"/>
        <bgColor rgb="FF4E95D9"/>
      </patternFill>
    </fill>
    <fill>
      <patternFill patternType="solid">
        <fgColor rgb="FFA23EFF"/>
        <bgColor rgb="FFD83DFF"/>
      </patternFill>
    </fill>
    <fill>
      <patternFill patternType="solid">
        <fgColor rgb="FFD83DFF"/>
        <bgColor rgb="FFA23EFF"/>
      </patternFill>
    </fill>
    <fill>
      <patternFill patternType="solid">
        <fgColor rgb="FFFF79FC"/>
        <bgColor rgb="FFCC99FF"/>
      </patternFill>
    </fill>
    <fill>
      <patternFill patternType="solid">
        <fgColor rgb="FFFF0000"/>
        <bgColor rgb="FF993300"/>
      </patternFill>
    </fill>
    <fill>
      <patternFill patternType="solid">
        <fgColor rgb="FFFF8000"/>
        <bgColor rgb="FFFF6600"/>
      </patternFill>
    </fill>
    <fill>
      <patternFill patternType="solid">
        <fgColor rgb="FFFFBF00"/>
        <bgColor rgb="FFFF8000"/>
      </patternFill>
    </fill>
    <fill>
      <patternFill patternType="solid">
        <fgColor rgb="FFFFFFFF"/>
        <bgColor rgb="FFF2F2FF"/>
      </patternFill>
    </fill>
    <fill>
      <patternFill patternType="solid">
        <fgColor rgb="FFF2F2FF"/>
        <bgColor rgb="FFFFFFFF"/>
      </patternFill>
    </fill>
    <fill>
      <patternFill patternType="solid">
        <fgColor rgb="FF4E95D9"/>
        <bgColor rgb="FF418A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false" applyProtection="false">
      <alignment horizontal="general" vertical="bottom" textRotation="0" wrapText="false" indent="0" shrinkToFit="false"/>
      <protection locked="true" hidden="false"/>
    </xf>
    <xf numFmtId="164" fontId="4" fillId="6" borderId="1" xfId="0" applyFont="true" applyBorder="true" applyAlignment="fals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true" indent="0" shrinkToFit="false"/>
      <protection locked="true" hidden="false"/>
    </xf>
    <xf numFmtId="164" fontId="4" fillId="7" borderId="1" xfId="0" applyFont="true" applyBorder="true" applyAlignment="fals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true" indent="0" shrinkToFit="false"/>
      <protection locked="true" hidden="false"/>
    </xf>
    <xf numFmtId="164" fontId="4" fillId="8" borderId="1" xfId="0" applyFont="true" applyBorder="true" applyAlignment="fals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false" applyProtection="false">
      <alignment horizontal="general" vertical="bottom" textRotation="0" wrapText="false" indent="0" shrinkToFit="false"/>
      <protection locked="true" hidden="false"/>
    </xf>
    <xf numFmtId="164" fontId="0" fillId="10" borderId="1" xfId="0" applyFont="true" applyBorder="true" applyAlignment="true" applyProtection="false">
      <alignment horizontal="general" vertical="bottom" textRotation="0" wrapText="true" indent="0" shrinkToFit="false"/>
      <protection locked="true" hidden="false"/>
    </xf>
    <xf numFmtId="164" fontId="0" fillId="10" borderId="1" xfId="0" applyFont="true" applyBorder="true" applyAlignment="false" applyProtection="false">
      <alignment horizontal="general" vertical="bottom" textRotation="0" wrapText="false" indent="0" shrinkToFit="false"/>
      <protection locked="true" hidden="false"/>
    </xf>
    <xf numFmtId="164" fontId="0" fillId="9" borderId="1" xfId="0" applyFont="true" applyBorder="true" applyAlignment="true" applyProtection="false">
      <alignment horizontal="general" vertical="bottom" textRotation="0" wrapText="true" indent="0" shrinkToFit="false"/>
      <protection locked="true" hidden="false"/>
    </xf>
    <xf numFmtId="164" fontId="4" fillId="9" borderId="1" xfId="0" applyFont="true" applyBorder="true" applyAlignment="false" applyProtection="false">
      <alignment horizontal="general" vertical="bottom" textRotation="0" wrapText="false" indent="0" shrinkToFit="false"/>
      <protection locked="true" hidden="false"/>
    </xf>
    <xf numFmtId="164" fontId="4" fillId="10" borderId="1" xfId="0" applyFont="tru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5" fillId="11"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418AFF"/>
        </patternFill>
      </fill>
    </dxf>
    <dxf>
      <fill>
        <patternFill patternType="solid">
          <fgColor rgb="FFF2F2FF"/>
        </patternFill>
      </fill>
    </dxf>
    <dxf>
      <fill>
        <patternFill patternType="solid">
          <fgColor rgb="FFFFFFFF"/>
        </patternFill>
      </fill>
    </dxf>
    <dxf>
      <fill>
        <patternFill patternType="solid">
          <fgColor rgb="00FFFFFF"/>
        </patternFill>
      </fill>
    </dxf>
    <dxf>
      <fill>
        <patternFill patternType="solid">
          <fgColor rgb="FFA23EFF"/>
        </patternFill>
      </fill>
    </dxf>
    <dxf>
      <fill>
        <patternFill patternType="solid">
          <fgColor rgb="FFD83DFF"/>
        </patternFill>
      </fill>
    </dxf>
    <dxf>
      <fill>
        <patternFill patternType="solid">
          <fgColor rgb="FFFF79FC"/>
        </patternFill>
      </fill>
    </dxf>
    <dxf>
      <fill>
        <patternFill patternType="solid">
          <fgColor rgb="FFFF0000"/>
        </patternFill>
      </fill>
    </dxf>
    <dxf>
      <fill>
        <patternFill patternType="solid">
          <fgColor rgb="FFFF8000"/>
        </patternFill>
      </fill>
    </dxf>
    <dxf>
      <fill>
        <patternFill patternType="solid">
          <fgColor rgb="FFFFBF00"/>
        </patternFill>
      </fill>
    </dxf>
  </dxfs>
  <colors>
    <indexedColors>
      <rgbColor rgb="FF000000"/>
      <rgbColor rgb="FFFFFFFF"/>
      <rgbColor rgb="FFFF0000"/>
      <rgbColor rgb="FF00FF00"/>
      <rgbColor rgb="FF0000FF"/>
      <rgbColor rgb="FFFFFF00"/>
      <rgbColor rgb="FFD83DFF"/>
      <rgbColor rgb="FF00FFFF"/>
      <rgbColor rgb="FF800000"/>
      <rgbColor rgb="FF008000"/>
      <rgbColor rgb="FF000080"/>
      <rgbColor rgb="FF808000"/>
      <rgbColor rgb="FF800080"/>
      <rgbColor rgb="FF008080"/>
      <rgbColor rgb="FFC0C0C0"/>
      <rgbColor rgb="FF808080"/>
      <rgbColor rgb="FF9999FF"/>
      <rgbColor rgb="FFA23EFF"/>
      <rgbColor rgb="FFF2F2F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79FC"/>
      <rgbColor rgb="FFCC99FF"/>
      <rgbColor rgb="FFFFCC99"/>
      <rgbColor rgb="FF418AFF"/>
      <rgbColor rgb="FF33CCCC"/>
      <rgbColor rgb="FF99CC00"/>
      <rgbColor rgb="FFFFBF00"/>
      <rgbColor rgb="FFFF8000"/>
      <rgbColor rgb="FFFF6600"/>
      <rgbColor rgb="FF666699"/>
      <rgbColor rgb="FF969696"/>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R21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01" activePane="bottomLeft" state="frozen"/>
      <selection pane="topLeft" activeCell="A1" activeCellId="0" sqref="A1"/>
      <selection pane="bottomLeft" activeCell="D205" activeCellId="0" sqref="D205"/>
    </sheetView>
  </sheetViews>
  <sheetFormatPr defaultColWidth="11.84765625" defaultRowHeight="12.8" zeroHeight="false" outlineLevelRow="0" outlineLevelCol="0"/>
  <cols>
    <col collapsed="false" customWidth="true" hidden="false" outlineLevel="0" max="1" min="1" style="1" width="19.84"/>
    <col collapsed="false" customWidth="true" hidden="false" outlineLevel="0" max="2" min="2" style="1" width="19.91"/>
    <col collapsed="false" customWidth="true" hidden="false" outlineLevel="0" max="3" min="3" style="2" width="58.63"/>
    <col collapsed="false" customWidth="true" hidden="false" outlineLevel="0" max="4" min="4" style="1" width="21.41"/>
    <col collapsed="false" customWidth="true" hidden="false" outlineLevel="0" max="5" min="5" style="1" width="23.05"/>
    <col collapsed="false" customWidth="true" hidden="false" outlineLevel="0" max="6" min="6" style="1" width="15.63"/>
    <col collapsed="false" customWidth="true" hidden="false" outlineLevel="0" max="7" min="7" style="2" width="86.82"/>
    <col collapsed="false" customWidth="true" hidden="false" outlineLevel="0" max="8" min="8" style="1" width="17.18"/>
    <col collapsed="false" customWidth="true" hidden="false" outlineLevel="0" max="9" min="9" style="1" width="15.91"/>
    <col collapsed="false" customWidth="true" hidden="false" outlineLevel="0" max="10" min="10" style="1" width="21.82"/>
    <col collapsed="false" customWidth="true" hidden="false" outlineLevel="0" max="11" min="11" style="1" width="28.11"/>
    <col collapsed="false" customWidth="true" hidden="false" outlineLevel="0" max="12" min="12" style="1" width="21.17"/>
    <col collapsed="false" customWidth="true" hidden="false" outlineLevel="0" max="13" min="13" style="1" width="27"/>
    <col collapsed="false" customWidth="true" hidden="false" outlineLevel="0" max="14" min="14" style="1" width="33.36"/>
    <col collapsed="false" customWidth="true" hidden="false" outlineLevel="0" max="15" min="15" style="1" width="7.91"/>
    <col collapsed="false" customWidth="true" hidden="false" outlineLevel="0" max="17" min="16" style="1" width="20.18"/>
    <col collapsed="false" customWidth="true" hidden="false" outlineLevel="0" max="18" min="18" style="1" width="13.02"/>
    <col collapsed="false" customWidth="true" hidden="false" outlineLevel="0" max="19" min="19" style="1" width="31.01"/>
    <col collapsed="false" customWidth="true" hidden="false" outlineLevel="0" max="20" min="20" style="1" width="32.18"/>
    <col collapsed="false" customWidth="true" hidden="false" outlineLevel="0" max="21" min="21" style="2" width="30.09"/>
    <col collapsed="false" customWidth="true" hidden="false" outlineLevel="0" max="22" min="22" style="1" width="28.45"/>
    <col collapsed="false" customWidth="true" hidden="false" outlineLevel="0" max="23" min="23" style="2" width="29.83"/>
    <col collapsed="false" customWidth="true" hidden="false" outlineLevel="0" max="24" min="24" style="3" width="30.09"/>
    <col collapsed="false" customWidth="true" hidden="false" outlineLevel="0" max="25" min="25" style="1" width="6.62"/>
    <col collapsed="false" customWidth="true" hidden="false" outlineLevel="0" max="26" min="26" style="1" width="9.54"/>
    <col collapsed="false" customWidth="true" hidden="false" outlineLevel="0" max="27" min="27" style="1" width="2.64"/>
    <col collapsed="false" customWidth="true" hidden="false" outlineLevel="0" max="28" min="28" style="1" width="15.91"/>
    <col collapsed="false" customWidth="true" hidden="false" outlineLevel="0" max="29" min="29" style="1" width="16"/>
    <col collapsed="false" customWidth="true" hidden="false" outlineLevel="0" max="30" min="30" style="1" width="7.45"/>
    <col collapsed="false" customWidth="true" hidden="false" outlineLevel="0" max="31" min="31" style="1" width="5.55"/>
    <col collapsed="false" customWidth="true" hidden="false" outlineLevel="0" max="32" min="32" style="1" width="41.18"/>
    <col collapsed="false" customWidth="true" hidden="false" outlineLevel="0" max="33" min="33" style="1" width="3.64"/>
    <col collapsed="false" customWidth="true" hidden="false" outlineLevel="0" max="34" min="34" style="1" width="20.18"/>
    <col collapsed="false" customWidth="true" hidden="false" outlineLevel="0" max="35" min="35" style="2" width="31.09"/>
    <col collapsed="false" customWidth="true" hidden="false" outlineLevel="0" max="36" min="36" style="1" width="18.79"/>
    <col collapsed="false" customWidth="true" hidden="false" outlineLevel="0" max="37" min="37" style="1" width="23.87"/>
    <col collapsed="false" customWidth="true" hidden="false" outlineLevel="0" max="38" min="38" style="4" width="37.83"/>
    <col collapsed="false" customWidth="true" hidden="false" outlineLevel="0" max="39" min="39" style="1" width="27.46"/>
    <col collapsed="false" customWidth="true" hidden="false" outlineLevel="0" max="40" min="40" style="1" width="6.72"/>
    <col collapsed="false" customWidth="true" hidden="false" outlineLevel="0" max="41" min="41" style="1" width="2.36"/>
    <col collapsed="false" customWidth="true" hidden="false" outlineLevel="0" max="42" min="42" style="4" width="21.1"/>
    <col collapsed="false" customWidth="true" hidden="false" outlineLevel="0" max="43" min="43" style="1" width="30.09"/>
    <col collapsed="false" customWidth="true" hidden="false" outlineLevel="0" max="44" min="44" style="1" width="5.55"/>
    <col collapsed="false" customWidth="false" hidden="false" outlineLevel="0" max="1024" min="45" style="1" width="11.84"/>
  </cols>
  <sheetData>
    <row r="1" s="17" customFormat="true" ht="24" hidden="false" customHeight="true" outlineLevel="0" collapsed="false">
      <c r="A1" s="5" t="s">
        <v>0</v>
      </c>
      <c r="B1" s="5" t="s">
        <v>1</v>
      </c>
      <c r="C1" s="6" t="s">
        <v>2</v>
      </c>
      <c r="D1" s="7" t="s">
        <v>3</v>
      </c>
      <c r="E1" s="7" t="s">
        <v>4</v>
      </c>
      <c r="F1" s="7" t="s">
        <v>5</v>
      </c>
      <c r="G1" s="8" t="s">
        <v>6</v>
      </c>
      <c r="H1" s="7" t="s">
        <v>7</v>
      </c>
      <c r="I1" s="9" t="s">
        <v>8</v>
      </c>
      <c r="J1" s="9" t="s">
        <v>9</v>
      </c>
      <c r="K1" s="9" t="s">
        <v>10</v>
      </c>
      <c r="L1" s="7" t="s">
        <v>11</v>
      </c>
      <c r="M1" s="7" t="s">
        <v>12</v>
      </c>
      <c r="N1" s="7" t="s">
        <v>13</v>
      </c>
      <c r="O1" s="10" t="s">
        <v>14</v>
      </c>
      <c r="P1" s="10" t="s">
        <v>15</v>
      </c>
      <c r="Q1" s="10" t="s">
        <v>16</v>
      </c>
      <c r="R1" s="10" t="s">
        <v>17</v>
      </c>
      <c r="S1" s="11" t="s">
        <v>18</v>
      </c>
      <c r="T1" s="11" t="s">
        <v>19</v>
      </c>
      <c r="U1" s="12" t="s">
        <v>20</v>
      </c>
      <c r="V1" s="13" t="s">
        <v>21</v>
      </c>
      <c r="W1" s="14" t="s">
        <v>22</v>
      </c>
      <c r="X1" s="14" t="s">
        <v>23</v>
      </c>
      <c r="Y1" s="13" t="s">
        <v>24</v>
      </c>
      <c r="Z1" s="13" t="s">
        <v>25</v>
      </c>
      <c r="AA1" s="13" t="s">
        <v>26</v>
      </c>
      <c r="AB1" s="13" t="s">
        <v>27</v>
      </c>
      <c r="AC1" s="13" t="s">
        <v>28</v>
      </c>
      <c r="AD1" s="13" t="s">
        <v>29</v>
      </c>
      <c r="AE1" s="13" t="s">
        <v>30</v>
      </c>
      <c r="AF1" s="15" t="s">
        <v>31</v>
      </c>
      <c r="AG1" s="15" t="s">
        <v>32</v>
      </c>
      <c r="AH1" s="15" t="s">
        <v>33</v>
      </c>
      <c r="AI1" s="16" t="s">
        <v>34</v>
      </c>
      <c r="AJ1" s="15" t="s">
        <v>35</v>
      </c>
      <c r="AK1" s="15" t="s">
        <v>36</v>
      </c>
      <c r="AL1" s="15" t="s">
        <v>37</v>
      </c>
      <c r="AM1" s="15" t="s">
        <v>38</v>
      </c>
      <c r="AN1" s="15" t="s">
        <v>39</v>
      </c>
      <c r="AO1" s="15" t="s">
        <v>40</v>
      </c>
      <c r="AP1" s="15" t="s">
        <v>41</v>
      </c>
      <c r="AQ1" s="15" t="s">
        <v>42</v>
      </c>
      <c r="AR1" s="15" t="s">
        <v>43</v>
      </c>
    </row>
    <row r="2" s="20" customFormat="true" ht="24" hidden="false" customHeight="true" outlineLevel="0" collapsed="false">
      <c r="A2" s="18" t="s">
        <v>44</v>
      </c>
      <c r="B2" s="18" t="s">
        <v>44</v>
      </c>
      <c r="C2" s="19" t="s">
        <v>45</v>
      </c>
      <c r="D2" s="18"/>
      <c r="E2" s="18"/>
      <c r="G2" s="19"/>
      <c r="U2" s="19"/>
      <c r="W2" s="19"/>
      <c r="X2" s="19"/>
      <c r="AI2" s="19"/>
    </row>
    <row r="3" s="18" customFormat="true" ht="24" hidden="false" customHeight="true" outlineLevel="0" collapsed="false">
      <c r="A3" s="18" t="s">
        <v>46</v>
      </c>
      <c r="B3" s="18" t="s">
        <v>46</v>
      </c>
      <c r="C3" s="21" t="s">
        <v>47</v>
      </c>
      <c r="D3" s="18" t="s">
        <v>48</v>
      </c>
      <c r="E3" s="18" t="s">
        <v>44</v>
      </c>
      <c r="F3" s="18" t="s">
        <v>49</v>
      </c>
      <c r="G3" s="18" t="s">
        <v>50</v>
      </c>
      <c r="H3" s="18" t="s">
        <v>51</v>
      </c>
      <c r="U3" s="21"/>
      <c r="W3" s="21"/>
      <c r="X3" s="21"/>
      <c r="AG3" s="18" t="n">
        <f aca="false">COUNTIF($AF$3:$AF$219,AF3)</f>
        <v>0</v>
      </c>
      <c r="AI3" s="21"/>
    </row>
    <row r="4" s="18" customFormat="true" ht="24" hidden="false" customHeight="true" outlineLevel="0" collapsed="false">
      <c r="A4" s="18" t="s">
        <v>46</v>
      </c>
      <c r="B4" s="18" t="s">
        <v>46</v>
      </c>
      <c r="C4" s="21" t="s">
        <v>47</v>
      </c>
      <c r="D4" s="18" t="s">
        <v>52</v>
      </c>
      <c r="E4" s="18" t="s">
        <v>44</v>
      </c>
      <c r="F4" s="18" t="s">
        <v>52</v>
      </c>
      <c r="G4" s="21" t="s">
        <v>53</v>
      </c>
      <c r="H4" s="18" t="s">
        <v>48</v>
      </c>
      <c r="U4" s="21"/>
      <c r="W4" s="21"/>
      <c r="X4" s="21"/>
      <c r="AG4" s="18" t="n">
        <f aca="false">COUNTIF($AF$3:$AF$219,AF4)</f>
        <v>0</v>
      </c>
      <c r="AI4" s="21"/>
    </row>
    <row r="5" s="18" customFormat="true" ht="24" hidden="false" customHeight="true" outlineLevel="0" collapsed="false">
      <c r="A5" s="18" t="s">
        <v>46</v>
      </c>
      <c r="B5" s="18" t="s">
        <v>46</v>
      </c>
      <c r="C5" s="21" t="s">
        <v>47</v>
      </c>
      <c r="D5" s="18" t="s">
        <v>54</v>
      </c>
      <c r="E5" s="18" t="s">
        <v>44</v>
      </c>
      <c r="F5" s="18" t="s">
        <v>55</v>
      </c>
      <c r="G5" s="21" t="s">
        <v>56</v>
      </c>
      <c r="H5" s="18" t="s">
        <v>48</v>
      </c>
      <c r="U5" s="21"/>
      <c r="W5" s="21"/>
      <c r="X5" s="21"/>
      <c r="AG5" s="18" t="n">
        <f aca="false">COUNTIF($AF$3:$AF$219,AF5)</f>
        <v>0</v>
      </c>
      <c r="AI5" s="21"/>
    </row>
    <row r="6" s="18" customFormat="true" ht="24" hidden="false" customHeight="true" outlineLevel="0" collapsed="false">
      <c r="A6" s="18" t="s">
        <v>46</v>
      </c>
      <c r="B6" s="18" t="s">
        <v>46</v>
      </c>
      <c r="C6" s="21" t="s">
        <v>47</v>
      </c>
      <c r="D6" s="18" t="s">
        <v>57</v>
      </c>
      <c r="E6" s="18" t="s">
        <v>44</v>
      </c>
      <c r="F6" s="18" t="s">
        <v>58</v>
      </c>
      <c r="G6" s="21" t="s">
        <v>59</v>
      </c>
      <c r="H6" s="18" t="s">
        <v>48</v>
      </c>
      <c r="U6" s="21"/>
      <c r="W6" s="21"/>
      <c r="X6" s="21"/>
      <c r="AG6" s="18" t="n">
        <f aca="false">COUNTIF($AF$3:$AF$219,AF6)</f>
        <v>0</v>
      </c>
      <c r="AI6" s="21"/>
    </row>
    <row r="7" s="18" customFormat="true" ht="24" hidden="false" customHeight="true" outlineLevel="0" collapsed="false">
      <c r="A7" s="18" t="s">
        <v>46</v>
      </c>
      <c r="B7" s="18" t="s">
        <v>46</v>
      </c>
      <c r="C7" s="21" t="s">
        <v>47</v>
      </c>
      <c r="D7" s="18" t="s">
        <v>60</v>
      </c>
      <c r="E7" s="18" t="s">
        <v>44</v>
      </c>
      <c r="F7" s="18" t="s">
        <v>61</v>
      </c>
      <c r="G7" s="21" t="s">
        <v>62</v>
      </c>
      <c r="H7" s="18" t="s">
        <v>48</v>
      </c>
      <c r="U7" s="21"/>
      <c r="W7" s="21"/>
      <c r="X7" s="21"/>
      <c r="AG7" s="18" t="n">
        <f aca="false">COUNTIF($AF$3:$AF$219,AF7)</f>
        <v>0</v>
      </c>
      <c r="AI7" s="21"/>
    </row>
    <row r="8" s="18" customFormat="true" ht="24" hidden="false" customHeight="true" outlineLevel="0" collapsed="false">
      <c r="A8" s="18" t="s">
        <v>46</v>
      </c>
      <c r="B8" s="18" t="s">
        <v>46</v>
      </c>
      <c r="C8" s="21" t="s">
        <v>47</v>
      </c>
      <c r="D8" s="18" t="s">
        <v>63</v>
      </c>
      <c r="E8" s="18" t="s">
        <v>44</v>
      </c>
      <c r="F8" s="18" t="s">
        <v>64</v>
      </c>
      <c r="G8" s="21" t="s">
        <v>65</v>
      </c>
      <c r="H8" s="18" t="s">
        <v>48</v>
      </c>
      <c r="U8" s="21"/>
      <c r="W8" s="21"/>
      <c r="X8" s="21"/>
      <c r="AG8" s="18" t="n">
        <f aca="false">COUNTIF($AF$3:$AF$219,AF8)</f>
        <v>0</v>
      </c>
      <c r="AI8" s="21"/>
    </row>
    <row r="9" s="18" customFormat="true" ht="24" hidden="false" customHeight="true" outlineLevel="0" collapsed="false">
      <c r="A9" s="18" t="s">
        <v>46</v>
      </c>
      <c r="B9" s="18" t="s">
        <v>46</v>
      </c>
      <c r="C9" s="21" t="s">
        <v>47</v>
      </c>
      <c r="D9" s="18" t="s">
        <v>66</v>
      </c>
      <c r="E9" s="18" t="s">
        <v>44</v>
      </c>
      <c r="F9" s="18" t="s">
        <v>67</v>
      </c>
      <c r="G9" s="21" t="s">
        <v>68</v>
      </c>
      <c r="H9" s="18" t="s">
        <v>48</v>
      </c>
      <c r="U9" s="21"/>
      <c r="W9" s="21"/>
      <c r="X9" s="21"/>
      <c r="AG9" s="18" t="n">
        <f aca="false">COUNTIF($AF$3:$AF$219,AF9)</f>
        <v>0</v>
      </c>
      <c r="AI9" s="21"/>
    </row>
    <row r="10" s="18" customFormat="true" ht="24" hidden="false" customHeight="true" outlineLevel="0" collapsed="false">
      <c r="A10" s="18" t="s">
        <v>46</v>
      </c>
      <c r="B10" s="18" t="s">
        <v>46</v>
      </c>
      <c r="C10" s="21" t="s">
        <v>47</v>
      </c>
      <c r="D10" s="18" t="s">
        <v>69</v>
      </c>
      <c r="E10" s="18" t="s">
        <v>44</v>
      </c>
      <c r="F10" s="18" t="s">
        <v>70</v>
      </c>
      <c r="G10" s="21" t="s">
        <v>71</v>
      </c>
      <c r="H10" s="18" t="s">
        <v>48</v>
      </c>
      <c r="U10" s="21"/>
      <c r="W10" s="21"/>
      <c r="X10" s="21"/>
      <c r="AG10" s="18" t="n">
        <f aca="false">COUNTIF($AF$3:$AF$219,AF10)</f>
        <v>0</v>
      </c>
      <c r="AI10" s="21"/>
    </row>
    <row r="11" s="20" customFormat="true" ht="24" hidden="false" customHeight="true" outlineLevel="0" collapsed="false">
      <c r="A11" s="20" t="s">
        <v>46</v>
      </c>
      <c r="B11" s="20" t="s">
        <v>46</v>
      </c>
      <c r="C11" s="19" t="s">
        <v>47</v>
      </c>
      <c r="D11" s="18" t="s">
        <v>63</v>
      </c>
      <c r="E11" s="18" t="s">
        <v>44</v>
      </c>
      <c r="F11" s="20" t="s">
        <v>64</v>
      </c>
      <c r="G11" s="19" t="s">
        <v>65</v>
      </c>
      <c r="H11" s="20" t="s">
        <v>48</v>
      </c>
      <c r="S11" s="20" t="s">
        <v>72</v>
      </c>
      <c r="T11" s="20" t="s">
        <v>72</v>
      </c>
      <c r="U11" s="19" t="s">
        <v>73</v>
      </c>
      <c r="V11" s="20" t="s">
        <v>74</v>
      </c>
      <c r="W11" s="19" t="s">
        <v>74</v>
      </c>
      <c r="X11" s="19" t="s">
        <v>75</v>
      </c>
      <c r="Y11" s="20" t="n">
        <v>0</v>
      </c>
      <c r="Z11" s="20" t="s">
        <v>76</v>
      </c>
      <c r="AD11" s="20" t="s">
        <v>77</v>
      </c>
      <c r="AE11" s="20" t="s">
        <v>78</v>
      </c>
      <c r="AG11" s="20" t="n">
        <f aca="false">COUNTIF($AF$3:$AF$219,AF11)</f>
        <v>0</v>
      </c>
      <c r="AI11" s="19"/>
    </row>
    <row r="12" s="20" customFormat="true" ht="24" hidden="false" customHeight="true" outlineLevel="0" collapsed="false">
      <c r="A12" s="20" t="s">
        <v>46</v>
      </c>
      <c r="B12" s="20" t="s">
        <v>46</v>
      </c>
      <c r="C12" s="19" t="s">
        <v>47</v>
      </c>
      <c r="D12" s="18" t="s">
        <v>63</v>
      </c>
      <c r="E12" s="18" t="s">
        <v>44</v>
      </c>
      <c r="F12" s="20" t="s">
        <v>64</v>
      </c>
      <c r="G12" s="19" t="s">
        <v>65</v>
      </c>
      <c r="H12" s="20" t="s">
        <v>48</v>
      </c>
      <c r="S12" s="20" t="s">
        <v>72</v>
      </c>
      <c r="T12" s="20" t="s">
        <v>72</v>
      </c>
      <c r="U12" s="19" t="s">
        <v>73</v>
      </c>
      <c r="V12" s="20" t="s">
        <v>79</v>
      </c>
      <c r="W12" s="19" t="s">
        <v>79</v>
      </c>
      <c r="X12" s="19" t="s">
        <v>80</v>
      </c>
      <c r="Y12" s="20" t="n">
        <v>1</v>
      </c>
      <c r="Z12" s="20" t="s">
        <v>81</v>
      </c>
      <c r="AD12" s="20" t="s">
        <v>78</v>
      </c>
      <c r="AG12" s="20" t="n">
        <f aca="false">COUNTIF($AF$3:$AF$219,AF12)</f>
        <v>0</v>
      </c>
      <c r="AI12" s="19"/>
    </row>
    <row r="13" s="20" customFormat="true" ht="24" hidden="false" customHeight="true" outlineLevel="0" collapsed="false">
      <c r="A13" s="20" t="s">
        <v>46</v>
      </c>
      <c r="B13" s="20" t="s">
        <v>46</v>
      </c>
      <c r="C13" s="19" t="s">
        <v>47</v>
      </c>
      <c r="D13" s="18" t="s">
        <v>63</v>
      </c>
      <c r="E13" s="18" t="s">
        <v>44</v>
      </c>
      <c r="F13" s="20" t="s">
        <v>64</v>
      </c>
      <c r="G13" s="19" t="s">
        <v>65</v>
      </c>
      <c r="H13" s="20" t="s">
        <v>48</v>
      </c>
      <c r="S13" s="20" t="s">
        <v>72</v>
      </c>
      <c r="T13" s="20" t="s">
        <v>72</v>
      </c>
      <c r="U13" s="19" t="s">
        <v>73</v>
      </c>
      <c r="V13" s="20" t="s">
        <v>82</v>
      </c>
      <c r="W13" s="19" t="s">
        <v>82</v>
      </c>
      <c r="X13" s="19" t="s">
        <v>83</v>
      </c>
      <c r="Y13" s="20" t="n">
        <v>2</v>
      </c>
      <c r="Z13" s="20" t="s">
        <v>81</v>
      </c>
      <c r="AD13" s="20" t="s">
        <v>78</v>
      </c>
      <c r="AG13" s="20" t="n">
        <f aca="false">COUNTIF($AF$3:$AF$219,AF13)</f>
        <v>0</v>
      </c>
      <c r="AI13" s="19"/>
    </row>
    <row r="14" s="20" customFormat="true" ht="24" hidden="false" customHeight="true" outlineLevel="0" collapsed="false">
      <c r="A14" s="20" t="s">
        <v>46</v>
      </c>
      <c r="B14" s="20" t="s">
        <v>46</v>
      </c>
      <c r="C14" s="19" t="s">
        <v>47</v>
      </c>
      <c r="D14" s="18" t="s">
        <v>63</v>
      </c>
      <c r="E14" s="18" t="s">
        <v>44</v>
      </c>
      <c r="F14" s="20" t="s">
        <v>64</v>
      </c>
      <c r="G14" s="19" t="s">
        <v>65</v>
      </c>
      <c r="H14" s="20" t="s">
        <v>48</v>
      </c>
      <c r="S14" s="20" t="s">
        <v>72</v>
      </c>
      <c r="T14" s="20" t="s">
        <v>72</v>
      </c>
      <c r="U14" s="19" t="s">
        <v>73</v>
      </c>
      <c r="V14" s="20" t="s">
        <v>84</v>
      </c>
      <c r="W14" s="19" t="s">
        <v>84</v>
      </c>
      <c r="X14" s="19" t="s">
        <v>85</v>
      </c>
      <c r="Y14" s="20" t="n">
        <v>3</v>
      </c>
      <c r="Z14" s="20" t="s">
        <v>81</v>
      </c>
      <c r="AB14" s="20" t="s">
        <v>86</v>
      </c>
      <c r="AD14" s="20" t="s">
        <v>78</v>
      </c>
      <c r="AG14" s="20" t="n">
        <f aca="false">COUNTIF($AF$3:$AF$219,AF14)</f>
        <v>0</v>
      </c>
      <c r="AI14" s="19"/>
    </row>
    <row r="15" s="20" customFormat="true" ht="24" hidden="false" customHeight="true" outlineLevel="0" collapsed="false">
      <c r="A15" s="20" t="s">
        <v>46</v>
      </c>
      <c r="B15" s="20" t="s">
        <v>46</v>
      </c>
      <c r="C15" s="19" t="s">
        <v>47</v>
      </c>
      <c r="D15" s="18" t="s">
        <v>63</v>
      </c>
      <c r="E15" s="18" t="s">
        <v>44</v>
      </c>
      <c r="F15" s="20" t="s">
        <v>64</v>
      </c>
      <c r="G15" s="19" t="s">
        <v>65</v>
      </c>
      <c r="H15" s="20" t="s">
        <v>48</v>
      </c>
      <c r="S15" s="20" t="s">
        <v>72</v>
      </c>
      <c r="T15" s="20" t="s">
        <v>72</v>
      </c>
      <c r="U15" s="19" t="s">
        <v>73</v>
      </c>
      <c r="V15" s="20" t="s">
        <v>87</v>
      </c>
      <c r="W15" s="19" t="s">
        <v>87</v>
      </c>
      <c r="X15" s="19" t="s">
        <v>88</v>
      </c>
      <c r="Y15" s="20" t="n">
        <v>4</v>
      </c>
      <c r="Z15" s="20" t="s">
        <v>81</v>
      </c>
      <c r="AB15" s="20" t="s">
        <v>89</v>
      </c>
      <c r="AD15" s="20" t="s">
        <v>78</v>
      </c>
      <c r="AG15" s="20" t="n">
        <f aca="false">COUNTIF($AF$3:$AF$219,AF15)</f>
        <v>0</v>
      </c>
      <c r="AI15" s="19"/>
    </row>
    <row r="16" s="20" customFormat="true" ht="24" hidden="false" customHeight="true" outlineLevel="0" collapsed="false">
      <c r="A16" s="20" t="s">
        <v>46</v>
      </c>
      <c r="B16" s="20" t="s">
        <v>46</v>
      </c>
      <c r="C16" s="19" t="s">
        <v>47</v>
      </c>
      <c r="D16" s="18" t="s">
        <v>63</v>
      </c>
      <c r="E16" s="18" t="s">
        <v>44</v>
      </c>
      <c r="F16" s="20" t="s">
        <v>64</v>
      </c>
      <c r="G16" s="19" t="s">
        <v>65</v>
      </c>
      <c r="H16" s="20" t="s">
        <v>48</v>
      </c>
      <c r="S16" s="20" t="s">
        <v>72</v>
      </c>
      <c r="T16" s="20" t="s">
        <v>72</v>
      </c>
      <c r="U16" s="19" t="s">
        <v>73</v>
      </c>
      <c r="V16" s="20" t="s">
        <v>90</v>
      </c>
      <c r="W16" s="19" t="s">
        <v>90</v>
      </c>
      <c r="X16" s="19" t="s">
        <v>91</v>
      </c>
      <c r="Y16" s="20" t="n">
        <v>5</v>
      </c>
      <c r="Z16" s="20" t="s">
        <v>81</v>
      </c>
      <c r="AD16" s="20" t="s">
        <v>78</v>
      </c>
      <c r="AG16" s="20" t="n">
        <f aca="false">COUNTIF($AF$3:$AF$219,AF16)</f>
        <v>0</v>
      </c>
      <c r="AI16" s="19"/>
    </row>
    <row r="17" s="20" customFormat="true" ht="24" hidden="false" customHeight="true" outlineLevel="0" collapsed="false">
      <c r="A17" s="20" t="s">
        <v>46</v>
      </c>
      <c r="B17" s="20" t="s">
        <v>46</v>
      </c>
      <c r="C17" s="19" t="s">
        <v>47</v>
      </c>
      <c r="D17" s="18" t="s">
        <v>63</v>
      </c>
      <c r="E17" s="18" t="s">
        <v>44</v>
      </c>
      <c r="F17" s="20" t="s">
        <v>64</v>
      </c>
      <c r="G17" s="19" t="s">
        <v>65</v>
      </c>
      <c r="H17" s="20" t="s">
        <v>48</v>
      </c>
      <c r="S17" s="20" t="s">
        <v>72</v>
      </c>
      <c r="T17" s="20" t="s">
        <v>72</v>
      </c>
      <c r="U17" s="19" t="s">
        <v>73</v>
      </c>
      <c r="V17" s="20" t="s">
        <v>92</v>
      </c>
      <c r="W17" s="19" t="s">
        <v>92</v>
      </c>
      <c r="X17" s="19" t="s">
        <v>93</v>
      </c>
      <c r="Y17" s="20" t="n">
        <v>6</v>
      </c>
      <c r="Z17" s="20" t="s">
        <v>81</v>
      </c>
      <c r="AD17" s="20" t="s">
        <v>78</v>
      </c>
      <c r="AG17" s="20" t="n">
        <f aca="false">COUNTIF($AF$3:$AF$219,AF17)</f>
        <v>0</v>
      </c>
      <c r="AI17" s="19"/>
    </row>
    <row r="18" s="20" customFormat="true" ht="24" hidden="false" customHeight="true" outlineLevel="0" collapsed="false">
      <c r="A18" s="20" t="s">
        <v>46</v>
      </c>
      <c r="B18" s="20" t="s">
        <v>46</v>
      </c>
      <c r="C18" s="19" t="s">
        <v>47</v>
      </c>
      <c r="D18" s="18" t="s">
        <v>63</v>
      </c>
      <c r="E18" s="18" t="s">
        <v>44</v>
      </c>
      <c r="F18" s="20" t="s">
        <v>64</v>
      </c>
      <c r="G18" s="19" t="s">
        <v>65</v>
      </c>
      <c r="H18" s="20" t="s">
        <v>48</v>
      </c>
      <c r="S18" s="20" t="s">
        <v>72</v>
      </c>
      <c r="T18" s="20" t="s">
        <v>72</v>
      </c>
      <c r="U18" s="19" t="s">
        <v>73</v>
      </c>
      <c r="V18" s="20" t="s">
        <v>94</v>
      </c>
      <c r="W18" s="19" t="s">
        <v>94</v>
      </c>
      <c r="X18" s="19" t="s">
        <v>95</v>
      </c>
      <c r="Y18" s="20" t="n">
        <v>7</v>
      </c>
      <c r="Z18" s="20" t="s">
        <v>81</v>
      </c>
      <c r="AD18" s="20" t="s">
        <v>78</v>
      </c>
      <c r="AG18" s="20" t="n">
        <f aca="false">COUNTIF($AF$3:$AF$219,AF18)</f>
        <v>0</v>
      </c>
      <c r="AI18" s="19"/>
    </row>
    <row r="19" s="20" customFormat="true" ht="24" hidden="false" customHeight="true" outlineLevel="0" collapsed="false">
      <c r="A19" s="20" t="s">
        <v>46</v>
      </c>
      <c r="B19" s="20" t="s">
        <v>46</v>
      </c>
      <c r="C19" s="19" t="s">
        <v>47</v>
      </c>
      <c r="D19" s="18" t="s">
        <v>63</v>
      </c>
      <c r="E19" s="18" t="s">
        <v>44</v>
      </c>
      <c r="F19" s="20" t="s">
        <v>64</v>
      </c>
      <c r="G19" s="19" t="s">
        <v>65</v>
      </c>
      <c r="H19" s="20" t="s">
        <v>48</v>
      </c>
      <c r="S19" s="20" t="s">
        <v>72</v>
      </c>
      <c r="T19" s="20" t="s">
        <v>72</v>
      </c>
      <c r="U19" s="19" t="s">
        <v>73</v>
      </c>
      <c r="V19" s="20" t="s">
        <v>96</v>
      </c>
      <c r="W19" s="19" t="s">
        <v>96</v>
      </c>
      <c r="X19" s="19" t="s">
        <v>97</v>
      </c>
      <c r="Y19" s="20" t="n">
        <v>8</v>
      </c>
      <c r="Z19" s="20" t="s">
        <v>81</v>
      </c>
      <c r="AD19" s="20" t="s">
        <v>78</v>
      </c>
      <c r="AG19" s="20" t="n">
        <f aca="false">COUNTIF($AF$3:$AF$219,AF19)</f>
        <v>0</v>
      </c>
      <c r="AI19" s="19"/>
    </row>
    <row r="20" s="20" customFormat="true" ht="24" hidden="false" customHeight="true" outlineLevel="0" collapsed="false">
      <c r="A20" s="20" t="s">
        <v>46</v>
      </c>
      <c r="B20" s="20" t="s">
        <v>46</v>
      </c>
      <c r="C20" s="19" t="s">
        <v>47</v>
      </c>
      <c r="D20" s="18" t="s">
        <v>63</v>
      </c>
      <c r="E20" s="18" t="s">
        <v>44</v>
      </c>
      <c r="F20" s="20" t="s">
        <v>64</v>
      </c>
      <c r="G20" s="19" t="s">
        <v>65</v>
      </c>
      <c r="H20" s="20" t="s">
        <v>48</v>
      </c>
      <c r="S20" s="20" t="s">
        <v>72</v>
      </c>
      <c r="T20" s="20" t="s">
        <v>72</v>
      </c>
      <c r="U20" s="19" t="s">
        <v>73</v>
      </c>
      <c r="V20" s="20" t="s">
        <v>98</v>
      </c>
      <c r="W20" s="19" t="s">
        <v>98</v>
      </c>
      <c r="X20" s="19" t="s">
        <v>99</v>
      </c>
      <c r="Y20" s="20" t="n">
        <v>9</v>
      </c>
      <c r="Z20" s="20" t="s">
        <v>81</v>
      </c>
      <c r="AD20" s="20" t="s">
        <v>78</v>
      </c>
      <c r="AG20" s="20" t="n">
        <f aca="false">COUNTIF($AF$3:$AF$219,AF20)</f>
        <v>0</v>
      </c>
      <c r="AI20" s="19"/>
    </row>
    <row r="21" s="20" customFormat="true" ht="24" hidden="false" customHeight="true" outlineLevel="0" collapsed="false">
      <c r="A21" s="20" t="s">
        <v>46</v>
      </c>
      <c r="B21" s="20" t="s">
        <v>46</v>
      </c>
      <c r="C21" s="19" t="s">
        <v>47</v>
      </c>
      <c r="D21" s="18" t="s">
        <v>63</v>
      </c>
      <c r="E21" s="18" t="s">
        <v>44</v>
      </c>
      <c r="F21" s="20" t="s">
        <v>64</v>
      </c>
      <c r="G21" s="19" t="s">
        <v>65</v>
      </c>
      <c r="H21" s="20" t="s">
        <v>48</v>
      </c>
      <c r="S21" s="20" t="s">
        <v>72</v>
      </c>
      <c r="T21" s="20" t="s">
        <v>72</v>
      </c>
      <c r="U21" s="19" t="s">
        <v>73</v>
      </c>
      <c r="V21" s="20" t="s">
        <v>100</v>
      </c>
      <c r="W21" s="19" t="s">
        <v>100</v>
      </c>
      <c r="X21" s="19" t="s">
        <v>101</v>
      </c>
      <c r="Y21" s="20" t="n">
        <v>10</v>
      </c>
      <c r="Z21" s="20" t="s">
        <v>81</v>
      </c>
      <c r="AD21" s="20" t="s">
        <v>78</v>
      </c>
      <c r="AG21" s="20" t="n">
        <f aca="false">COUNTIF($AF$3:$AF$219,AF21)</f>
        <v>0</v>
      </c>
      <c r="AI21" s="19"/>
    </row>
    <row r="22" s="20" customFormat="true" ht="24" hidden="false" customHeight="true" outlineLevel="0" collapsed="false">
      <c r="A22" s="20" t="s">
        <v>46</v>
      </c>
      <c r="B22" s="20" t="s">
        <v>46</v>
      </c>
      <c r="C22" s="19" t="s">
        <v>47</v>
      </c>
      <c r="D22" s="18" t="s">
        <v>63</v>
      </c>
      <c r="E22" s="18" t="s">
        <v>44</v>
      </c>
      <c r="F22" s="20" t="s">
        <v>64</v>
      </c>
      <c r="G22" s="19" t="s">
        <v>65</v>
      </c>
      <c r="H22" s="20" t="s">
        <v>48</v>
      </c>
      <c r="S22" s="20" t="s">
        <v>72</v>
      </c>
      <c r="T22" s="20" t="s">
        <v>72</v>
      </c>
      <c r="U22" s="19" t="s">
        <v>73</v>
      </c>
      <c r="V22" s="20" t="s">
        <v>102</v>
      </c>
      <c r="W22" s="19" t="s">
        <v>102</v>
      </c>
      <c r="X22" s="19" t="s">
        <v>103</v>
      </c>
      <c r="Y22" s="20" t="n">
        <v>11</v>
      </c>
      <c r="Z22" s="20" t="s">
        <v>81</v>
      </c>
      <c r="AD22" s="20" t="s">
        <v>78</v>
      </c>
      <c r="AG22" s="20" t="n">
        <f aca="false">COUNTIF($AF$3:$AF$219,AF22)</f>
        <v>0</v>
      </c>
      <c r="AI22" s="19"/>
    </row>
    <row r="23" s="20" customFormat="true" ht="24" hidden="false" customHeight="true" outlineLevel="0" collapsed="false">
      <c r="A23" s="20" t="s">
        <v>46</v>
      </c>
      <c r="B23" s="20" t="s">
        <v>46</v>
      </c>
      <c r="C23" s="19" t="s">
        <v>47</v>
      </c>
      <c r="D23" s="18" t="s">
        <v>63</v>
      </c>
      <c r="E23" s="18" t="s">
        <v>44</v>
      </c>
      <c r="F23" s="20" t="s">
        <v>64</v>
      </c>
      <c r="G23" s="19" t="s">
        <v>65</v>
      </c>
      <c r="H23" s="20" t="s">
        <v>48</v>
      </c>
      <c r="S23" s="20" t="s">
        <v>72</v>
      </c>
      <c r="T23" s="20" t="s">
        <v>72</v>
      </c>
      <c r="U23" s="19" t="s">
        <v>73</v>
      </c>
      <c r="V23" s="20" t="s">
        <v>104</v>
      </c>
      <c r="W23" s="19" t="s">
        <v>104</v>
      </c>
      <c r="X23" s="19" t="s">
        <v>105</v>
      </c>
      <c r="Y23" s="20" t="n">
        <v>12</v>
      </c>
      <c r="Z23" s="20" t="s">
        <v>81</v>
      </c>
      <c r="AD23" s="20" t="s">
        <v>78</v>
      </c>
      <c r="AG23" s="20" t="n">
        <f aca="false">COUNTIF($AF$3:$AF$219,AF23)</f>
        <v>0</v>
      </c>
      <c r="AI23" s="19"/>
    </row>
    <row r="24" s="20" customFormat="true" ht="24" hidden="false" customHeight="true" outlineLevel="0" collapsed="false">
      <c r="A24" s="20" t="s">
        <v>46</v>
      </c>
      <c r="B24" s="20" t="s">
        <v>46</v>
      </c>
      <c r="C24" s="19" t="s">
        <v>47</v>
      </c>
      <c r="D24" s="18" t="s">
        <v>63</v>
      </c>
      <c r="E24" s="18" t="s">
        <v>44</v>
      </c>
      <c r="F24" s="20" t="s">
        <v>64</v>
      </c>
      <c r="G24" s="19" t="s">
        <v>65</v>
      </c>
      <c r="H24" s="20" t="s">
        <v>48</v>
      </c>
      <c r="S24" s="20" t="s">
        <v>72</v>
      </c>
      <c r="T24" s="20" t="s">
        <v>72</v>
      </c>
      <c r="U24" s="19" t="s">
        <v>73</v>
      </c>
      <c r="V24" s="20" t="s">
        <v>106</v>
      </c>
      <c r="W24" s="19" t="s">
        <v>106</v>
      </c>
      <c r="X24" s="19" t="s">
        <v>107</v>
      </c>
      <c r="Y24" s="20" t="n">
        <v>13</v>
      </c>
      <c r="Z24" s="20" t="s">
        <v>81</v>
      </c>
      <c r="AD24" s="20" t="s">
        <v>78</v>
      </c>
      <c r="AG24" s="20" t="n">
        <f aca="false">COUNTIF($AF$3:$AF$219,AF24)</f>
        <v>0</v>
      </c>
      <c r="AI24" s="19"/>
    </row>
    <row r="25" s="20" customFormat="true" ht="24" hidden="false" customHeight="true" outlineLevel="0" collapsed="false">
      <c r="A25" s="20" t="s">
        <v>46</v>
      </c>
      <c r="B25" s="20" t="s">
        <v>46</v>
      </c>
      <c r="C25" s="19" t="s">
        <v>47</v>
      </c>
      <c r="D25" s="18" t="s">
        <v>63</v>
      </c>
      <c r="E25" s="18" t="s">
        <v>44</v>
      </c>
      <c r="F25" s="20" t="s">
        <v>64</v>
      </c>
      <c r="G25" s="19" t="s">
        <v>65</v>
      </c>
      <c r="H25" s="20" t="s">
        <v>48</v>
      </c>
      <c r="S25" s="20" t="s">
        <v>72</v>
      </c>
      <c r="T25" s="20" t="s">
        <v>72</v>
      </c>
      <c r="U25" s="19" t="s">
        <v>73</v>
      </c>
      <c r="V25" s="20" t="s">
        <v>108</v>
      </c>
      <c r="W25" s="19" t="s">
        <v>108</v>
      </c>
      <c r="X25" s="19" t="s">
        <v>109</v>
      </c>
      <c r="Y25" s="20" t="n">
        <v>14</v>
      </c>
      <c r="Z25" s="20" t="s">
        <v>81</v>
      </c>
      <c r="AD25" s="20" t="s">
        <v>78</v>
      </c>
      <c r="AG25" s="20" t="n">
        <f aca="false">COUNTIF($AF$3:$AF$219,AF25)</f>
        <v>0</v>
      </c>
      <c r="AI25" s="19"/>
    </row>
    <row r="26" s="20" customFormat="true" ht="24" hidden="false" customHeight="true" outlineLevel="0" collapsed="false">
      <c r="A26" s="20" t="s">
        <v>46</v>
      </c>
      <c r="B26" s="20" t="s">
        <v>46</v>
      </c>
      <c r="C26" s="19" t="s">
        <v>47</v>
      </c>
      <c r="D26" s="18" t="s">
        <v>63</v>
      </c>
      <c r="E26" s="18" t="s">
        <v>44</v>
      </c>
      <c r="F26" s="20" t="s">
        <v>64</v>
      </c>
      <c r="G26" s="19" t="s">
        <v>65</v>
      </c>
      <c r="H26" s="20" t="s">
        <v>48</v>
      </c>
      <c r="S26" s="20" t="s">
        <v>72</v>
      </c>
      <c r="T26" s="20" t="s">
        <v>72</v>
      </c>
      <c r="U26" s="19" t="s">
        <v>73</v>
      </c>
      <c r="V26" s="20" t="s">
        <v>110</v>
      </c>
      <c r="W26" s="19" t="s">
        <v>110</v>
      </c>
      <c r="X26" s="19" t="s">
        <v>111</v>
      </c>
      <c r="Y26" s="20" t="n">
        <v>15</v>
      </c>
      <c r="Z26" s="20" t="s">
        <v>81</v>
      </c>
      <c r="AD26" s="20" t="s">
        <v>78</v>
      </c>
      <c r="AG26" s="20" t="n">
        <f aca="false">COUNTIF($AF$3:$AF$219,AF26)</f>
        <v>0</v>
      </c>
      <c r="AI26" s="19"/>
    </row>
    <row r="27" s="20" customFormat="true" ht="24" hidden="false" customHeight="true" outlineLevel="0" collapsed="false">
      <c r="A27" s="20" t="s">
        <v>46</v>
      </c>
      <c r="B27" s="20" t="s">
        <v>46</v>
      </c>
      <c r="C27" s="19" t="s">
        <v>47</v>
      </c>
      <c r="D27" s="18" t="s">
        <v>63</v>
      </c>
      <c r="E27" s="18" t="s">
        <v>44</v>
      </c>
      <c r="F27" s="20" t="s">
        <v>64</v>
      </c>
      <c r="G27" s="19" t="s">
        <v>65</v>
      </c>
      <c r="H27" s="20" t="s">
        <v>48</v>
      </c>
      <c r="S27" s="20" t="s">
        <v>72</v>
      </c>
      <c r="T27" s="20" t="s">
        <v>72</v>
      </c>
      <c r="U27" s="19" t="s">
        <v>73</v>
      </c>
      <c r="V27" s="20" t="s">
        <v>112</v>
      </c>
      <c r="W27" s="19" t="s">
        <v>112</v>
      </c>
      <c r="X27" s="19" t="s">
        <v>113</v>
      </c>
      <c r="Y27" s="20" t="n">
        <v>16</v>
      </c>
      <c r="Z27" s="20" t="s">
        <v>81</v>
      </c>
      <c r="AD27" s="20" t="s">
        <v>78</v>
      </c>
      <c r="AG27" s="20" t="n">
        <f aca="false">COUNTIF($AF$3:$AF$219,AF27)</f>
        <v>0</v>
      </c>
      <c r="AI27" s="19"/>
    </row>
    <row r="28" s="20" customFormat="true" ht="24" hidden="false" customHeight="true" outlineLevel="0" collapsed="false">
      <c r="A28" s="20" t="s">
        <v>46</v>
      </c>
      <c r="B28" s="20" t="s">
        <v>46</v>
      </c>
      <c r="C28" s="19" t="s">
        <v>47</v>
      </c>
      <c r="D28" s="18" t="s">
        <v>63</v>
      </c>
      <c r="E28" s="18" t="s">
        <v>44</v>
      </c>
      <c r="F28" s="20" t="s">
        <v>64</v>
      </c>
      <c r="G28" s="19" t="s">
        <v>65</v>
      </c>
      <c r="H28" s="20" t="s">
        <v>48</v>
      </c>
      <c r="S28" s="20" t="s">
        <v>72</v>
      </c>
      <c r="T28" s="20" t="s">
        <v>72</v>
      </c>
      <c r="U28" s="19" t="s">
        <v>73</v>
      </c>
      <c r="V28" s="20" t="s">
        <v>114</v>
      </c>
      <c r="W28" s="19" t="s">
        <v>114</v>
      </c>
      <c r="X28" s="19" t="s">
        <v>115</v>
      </c>
      <c r="Y28" s="20" t="n">
        <v>17</v>
      </c>
      <c r="Z28" s="20" t="s">
        <v>81</v>
      </c>
      <c r="AD28" s="20" t="s">
        <v>78</v>
      </c>
      <c r="AG28" s="20" t="n">
        <f aca="false">COUNTIF($AF$3:$AF$219,AF28)</f>
        <v>0</v>
      </c>
      <c r="AI28" s="19"/>
    </row>
    <row r="29" s="20" customFormat="true" ht="24" hidden="false" customHeight="true" outlineLevel="0" collapsed="false">
      <c r="A29" s="20" t="s">
        <v>46</v>
      </c>
      <c r="B29" s="20" t="s">
        <v>46</v>
      </c>
      <c r="C29" s="19" t="s">
        <v>47</v>
      </c>
      <c r="D29" s="18" t="s">
        <v>63</v>
      </c>
      <c r="E29" s="18" t="s">
        <v>44</v>
      </c>
      <c r="F29" s="20" t="s">
        <v>64</v>
      </c>
      <c r="G29" s="19" t="s">
        <v>65</v>
      </c>
      <c r="H29" s="20" t="s">
        <v>48</v>
      </c>
      <c r="S29" s="20" t="s">
        <v>72</v>
      </c>
      <c r="T29" s="20" t="s">
        <v>72</v>
      </c>
      <c r="U29" s="19" t="s">
        <v>73</v>
      </c>
      <c r="V29" s="20" t="s">
        <v>116</v>
      </c>
      <c r="W29" s="19" t="s">
        <v>116</v>
      </c>
      <c r="X29" s="19" t="s">
        <v>117</v>
      </c>
      <c r="Y29" s="20" t="n">
        <v>18</v>
      </c>
      <c r="Z29" s="20" t="s">
        <v>81</v>
      </c>
      <c r="AD29" s="20" t="s">
        <v>78</v>
      </c>
      <c r="AG29" s="20" t="n">
        <f aca="false">COUNTIF($AF$3:$AF$219,AF29)</f>
        <v>0</v>
      </c>
      <c r="AI29" s="19"/>
    </row>
    <row r="30" s="20" customFormat="true" ht="24" hidden="false" customHeight="true" outlineLevel="0" collapsed="false">
      <c r="A30" s="20" t="s">
        <v>46</v>
      </c>
      <c r="B30" s="20" t="s">
        <v>46</v>
      </c>
      <c r="C30" s="19" t="s">
        <v>47</v>
      </c>
      <c r="D30" s="18" t="s">
        <v>63</v>
      </c>
      <c r="E30" s="18" t="s">
        <v>44</v>
      </c>
      <c r="F30" s="20" t="s">
        <v>64</v>
      </c>
      <c r="G30" s="19" t="s">
        <v>65</v>
      </c>
      <c r="H30" s="20" t="s">
        <v>48</v>
      </c>
      <c r="S30" s="20" t="s">
        <v>72</v>
      </c>
      <c r="T30" s="20" t="s">
        <v>72</v>
      </c>
      <c r="U30" s="19" t="s">
        <v>73</v>
      </c>
      <c r="V30" s="20" t="s">
        <v>118</v>
      </c>
      <c r="W30" s="19" t="s">
        <v>118</v>
      </c>
      <c r="X30" s="19" t="s">
        <v>117</v>
      </c>
      <c r="Y30" s="20" t="n">
        <v>19</v>
      </c>
      <c r="Z30" s="20" t="s">
        <v>81</v>
      </c>
      <c r="AD30" s="20" t="s">
        <v>78</v>
      </c>
      <c r="AG30" s="20" t="n">
        <f aca="false">COUNTIF($AF$3:$AF$219,AF30)</f>
        <v>0</v>
      </c>
      <c r="AI30" s="19"/>
    </row>
    <row r="31" s="20" customFormat="true" ht="24" hidden="false" customHeight="true" outlineLevel="0" collapsed="false">
      <c r="A31" s="20" t="s">
        <v>46</v>
      </c>
      <c r="B31" s="20" t="s">
        <v>46</v>
      </c>
      <c r="C31" s="19" t="s">
        <v>47</v>
      </c>
      <c r="D31" s="18" t="s">
        <v>63</v>
      </c>
      <c r="E31" s="18" t="s">
        <v>44</v>
      </c>
      <c r="F31" s="20" t="s">
        <v>64</v>
      </c>
      <c r="G31" s="19" t="s">
        <v>65</v>
      </c>
      <c r="H31" s="20" t="s">
        <v>48</v>
      </c>
      <c r="S31" s="20" t="s">
        <v>72</v>
      </c>
      <c r="T31" s="20" t="s">
        <v>72</v>
      </c>
      <c r="U31" s="19" t="s">
        <v>73</v>
      </c>
      <c r="V31" s="20" t="s">
        <v>119</v>
      </c>
      <c r="W31" s="19" t="s">
        <v>119</v>
      </c>
      <c r="X31" s="19" t="s">
        <v>117</v>
      </c>
      <c r="Y31" s="20" t="n">
        <v>20</v>
      </c>
      <c r="Z31" s="20" t="s">
        <v>81</v>
      </c>
      <c r="AD31" s="20" t="s">
        <v>78</v>
      </c>
      <c r="AG31" s="20" t="n">
        <f aca="false">COUNTIF($AF$3:$AF$219,AF31)</f>
        <v>0</v>
      </c>
      <c r="AI31" s="19"/>
    </row>
    <row r="32" s="20" customFormat="true" ht="24" hidden="false" customHeight="true" outlineLevel="0" collapsed="false">
      <c r="A32" s="20" t="s">
        <v>46</v>
      </c>
      <c r="B32" s="20" t="s">
        <v>46</v>
      </c>
      <c r="C32" s="19" t="s">
        <v>47</v>
      </c>
      <c r="D32" s="18" t="s">
        <v>63</v>
      </c>
      <c r="E32" s="18" t="s">
        <v>44</v>
      </c>
      <c r="F32" s="20" t="s">
        <v>64</v>
      </c>
      <c r="G32" s="19" t="s">
        <v>65</v>
      </c>
      <c r="H32" s="20" t="s">
        <v>48</v>
      </c>
      <c r="S32" s="20" t="s">
        <v>72</v>
      </c>
      <c r="T32" s="20" t="s">
        <v>72</v>
      </c>
      <c r="U32" s="19" t="s">
        <v>73</v>
      </c>
      <c r="V32" s="20" t="s">
        <v>120</v>
      </c>
      <c r="W32" s="19" t="s">
        <v>120</v>
      </c>
      <c r="X32" s="19" t="s">
        <v>117</v>
      </c>
      <c r="Y32" s="20" t="n">
        <v>21</v>
      </c>
      <c r="Z32" s="20" t="s">
        <v>81</v>
      </c>
      <c r="AD32" s="20" t="s">
        <v>78</v>
      </c>
      <c r="AG32" s="20" t="n">
        <f aca="false">COUNTIF($AF$3:$AF$219,AF32)</f>
        <v>0</v>
      </c>
      <c r="AI32" s="19"/>
    </row>
    <row r="33" s="20" customFormat="true" ht="24" hidden="false" customHeight="true" outlineLevel="0" collapsed="false">
      <c r="A33" s="20" t="s">
        <v>46</v>
      </c>
      <c r="B33" s="20" t="s">
        <v>46</v>
      </c>
      <c r="C33" s="19" t="s">
        <v>47</v>
      </c>
      <c r="D33" s="18" t="s">
        <v>63</v>
      </c>
      <c r="E33" s="18" t="s">
        <v>44</v>
      </c>
      <c r="F33" s="20" t="s">
        <v>64</v>
      </c>
      <c r="G33" s="19" t="s">
        <v>65</v>
      </c>
      <c r="H33" s="20" t="s">
        <v>48</v>
      </c>
      <c r="S33" s="20" t="s">
        <v>72</v>
      </c>
      <c r="T33" s="20" t="s">
        <v>72</v>
      </c>
      <c r="U33" s="19" t="s">
        <v>73</v>
      </c>
      <c r="V33" s="20" t="s">
        <v>121</v>
      </c>
      <c r="W33" s="19" t="s">
        <v>121</v>
      </c>
      <c r="X33" s="19" t="s">
        <v>117</v>
      </c>
      <c r="Y33" s="20" t="n">
        <v>22</v>
      </c>
      <c r="Z33" s="20" t="s">
        <v>81</v>
      </c>
      <c r="AD33" s="20" t="s">
        <v>78</v>
      </c>
      <c r="AG33" s="20" t="n">
        <f aca="false">COUNTIF($AF$3:$AF$219,AF33)</f>
        <v>0</v>
      </c>
      <c r="AI33" s="19"/>
    </row>
    <row r="34" s="20" customFormat="true" ht="24" hidden="false" customHeight="true" outlineLevel="0" collapsed="false">
      <c r="A34" s="20" t="s">
        <v>46</v>
      </c>
      <c r="B34" s="20" t="s">
        <v>46</v>
      </c>
      <c r="C34" s="19" t="s">
        <v>47</v>
      </c>
      <c r="D34" s="18" t="s">
        <v>63</v>
      </c>
      <c r="E34" s="18" t="s">
        <v>44</v>
      </c>
      <c r="F34" s="20" t="s">
        <v>64</v>
      </c>
      <c r="G34" s="19" t="s">
        <v>65</v>
      </c>
      <c r="H34" s="20" t="s">
        <v>48</v>
      </c>
      <c r="S34" s="20" t="s">
        <v>72</v>
      </c>
      <c r="T34" s="20" t="s">
        <v>72</v>
      </c>
      <c r="U34" s="19" t="s">
        <v>73</v>
      </c>
      <c r="V34" s="20" t="s">
        <v>122</v>
      </c>
      <c r="W34" s="19" t="s">
        <v>122</v>
      </c>
      <c r="X34" s="19" t="s">
        <v>117</v>
      </c>
      <c r="Y34" s="20" t="n">
        <v>23</v>
      </c>
      <c r="Z34" s="20" t="s">
        <v>81</v>
      </c>
      <c r="AD34" s="20" t="s">
        <v>78</v>
      </c>
      <c r="AG34" s="20" t="n">
        <f aca="false">COUNTIF($AF$3:$AF$219,AF34)</f>
        <v>0</v>
      </c>
      <c r="AI34" s="19"/>
    </row>
    <row r="35" s="20" customFormat="true" ht="24" hidden="false" customHeight="true" outlineLevel="0" collapsed="false">
      <c r="A35" s="20" t="s">
        <v>46</v>
      </c>
      <c r="B35" s="20" t="s">
        <v>46</v>
      </c>
      <c r="C35" s="19" t="s">
        <v>47</v>
      </c>
      <c r="D35" s="18" t="s">
        <v>63</v>
      </c>
      <c r="E35" s="18" t="s">
        <v>44</v>
      </c>
      <c r="F35" s="20" t="s">
        <v>64</v>
      </c>
      <c r="G35" s="19" t="s">
        <v>65</v>
      </c>
      <c r="H35" s="20" t="s">
        <v>48</v>
      </c>
      <c r="S35" s="20" t="s">
        <v>72</v>
      </c>
      <c r="T35" s="20" t="s">
        <v>72</v>
      </c>
      <c r="U35" s="19" t="s">
        <v>73</v>
      </c>
      <c r="V35" s="20" t="s">
        <v>123</v>
      </c>
      <c r="W35" s="19" t="s">
        <v>123</v>
      </c>
      <c r="X35" s="19" t="s">
        <v>117</v>
      </c>
      <c r="Y35" s="20" t="n">
        <v>24</v>
      </c>
      <c r="Z35" s="20" t="s">
        <v>81</v>
      </c>
      <c r="AD35" s="20" t="s">
        <v>78</v>
      </c>
      <c r="AG35" s="20" t="n">
        <f aca="false">COUNTIF($AF$3:$AF$219,AF35)</f>
        <v>0</v>
      </c>
      <c r="AI35" s="19"/>
    </row>
    <row r="36" s="18" customFormat="true" ht="24" hidden="false" customHeight="true" outlineLevel="0" collapsed="false">
      <c r="A36" s="18" t="s">
        <v>46</v>
      </c>
      <c r="B36" s="18" t="s">
        <v>46</v>
      </c>
      <c r="C36" s="21" t="s">
        <v>47</v>
      </c>
      <c r="D36" s="18" t="s">
        <v>63</v>
      </c>
      <c r="E36" s="18" t="s">
        <v>44</v>
      </c>
      <c r="F36" s="18" t="s">
        <v>64</v>
      </c>
      <c r="G36" s="21" t="s">
        <v>65</v>
      </c>
      <c r="H36" s="20" t="s">
        <v>48</v>
      </c>
      <c r="S36" s="18" t="s">
        <v>124</v>
      </c>
      <c r="T36" s="18" t="s">
        <v>124</v>
      </c>
      <c r="U36" s="21" t="s">
        <v>125</v>
      </c>
      <c r="V36" s="18" t="s">
        <v>126</v>
      </c>
      <c r="W36" s="21" t="s">
        <v>126</v>
      </c>
      <c r="X36" s="21" t="s">
        <v>75</v>
      </c>
      <c r="Y36" s="18" t="n">
        <v>0</v>
      </c>
      <c r="Z36" s="18" t="s">
        <v>76</v>
      </c>
      <c r="AD36" s="18" t="s">
        <v>77</v>
      </c>
      <c r="AE36" s="18" t="s">
        <v>78</v>
      </c>
      <c r="AG36" s="18" t="n">
        <f aca="false">COUNTIF($AF$3:$AF$219,AF36)</f>
        <v>0</v>
      </c>
      <c r="AI36" s="21"/>
    </row>
    <row r="37" s="18" customFormat="true" ht="24" hidden="false" customHeight="true" outlineLevel="0" collapsed="false">
      <c r="A37" s="18" t="s">
        <v>46</v>
      </c>
      <c r="B37" s="18" t="s">
        <v>46</v>
      </c>
      <c r="C37" s="21" t="s">
        <v>47</v>
      </c>
      <c r="D37" s="18" t="s">
        <v>63</v>
      </c>
      <c r="E37" s="18" t="s">
        <v>44</v>
      </c>
      <c r="F37" s="18" t="s">
        <v>64</v>
      </c>
      <c r="G37" s="21" t="s">
        <v>65</v>
      </c>
      <c r="H37" s="20" t="s">
        <v>48</v>
      </c>
      <c r="S37" s="18" t="s">
        <v>124</v>
      </c>
      <c r="T37" s="18" t="s">
        <v>124</v>
      </c>
      <c r="U37" s="21" t="s">
        <v>125</v>
      </c>
      <c r="V37" s="18" t="s">
        <v>127</v>
      </c>
      <c r="W37" s="21" t="s">
        <v>127</v>
      </c>
      <c r="X37" s="21"/>
      <c r="Y37" s="18" t="n">
        <v>1</v>
      </c>
      <c r="Z37" s="18" t="s">
        <v>81</v>
      </c>
      <c r="AD37" s="18" t="s">
        <v>78</v>
      </c>
      <c r="AG37" s="18" t="n">
        <f aca="false">COUNTIF($AF$3:$AF$219,AF37)</f>
        <v>0</v>
      </c>
      <c r="AI37" s="21"/>
    </row>
    <row r="38" s="18" customFormat="true" ht="24" hidden="false" customHeight="true" outlineLevel="0" collapsed="false">
      <c r="A38" s="18" t="s">
        <v>46</v>
      </c>
      <c r="B38" s="18" t="s">
        <v>46</v>
      </c>
      <c r="C38" s="21" t="s">
        <v>47</v>
      </c>
      <c r="D38" s="18" t="s">
        <v>63</v>
      </c>
      <c r="E38" s="18" t="s">
        <v>44</v>
      </c>
      <c r="F38" s="18" t="s">
        <v>64</v>
      </c>
      <c r="G38" s="21" t="s">
        <v>65</v>
      </c>
      <c r="H38" s="20" t="s">
        <v>48</v>
      </c>
      <c r="S38" s="18" t="s">
        <v>124</v>
      </c>
      <c r="T38" s="18" t="s">
        <v>124</v>
      </c>
      <c r="U38" s="21" t="s">
        <v>125</v>
      </c>
      <c r="V38" s="18" t="s">
        <v>128</v>
      </c>
      <c r="W38" s="21" t="s">
        <v>128</v>
      </c>
      <c r="X38" s="21"/>
      <c r="Y38" s="18" t="n">
        <v>2</v>
      </c>
      <c r="Z38" s="18" t="s">
        <v>81</v>
      </c>
      <c r="AD38" s="18" t="s">
        <v>77</v>
      </c>
      <c r="AG38" s="18" t="n">
        <f aca="false">COUNTIF($AF$3:$AF$219,AF38)</f>
        <v>0</v>
      </c>
      <c r="AI38" s="21"/>
    </row>
    <row r="39" s="18" customFormat="true" ht="24" hidden="false" customHeight="true" outlineLevel="0" collapsed="false">
      <c r="A39" s="18" t="s">
        <v>46</v>
      </c>
      <c r="B39" s="18" t="s">
        <v>46</v>
      </c>
      <c r="C39" s="21" t="s">
        <v>47</v>
      </c>
      <c r="D39" s="18" t="s">
        <v>63</v>
      </c>
      <c r="E39" s="18" t="s">
        <v>44</v>
      </c>
      <c r="F39" s="18" t="s">
        <v>64</v>
      </c>
      <c r="G39" s="21" t="s">
        <v>65</v>
      </c>
      <c r="H39" s="20" t="s">
        <v>48</v>
      </c>
      <c r="S39" s="18" t="s">
        <v>124</v>
      </c>
      <c r="T39" s="18" t="s">
        <v>124</v>
      </c>
      <c r="U39" s="21" t="s">
        <v>125</v>
      </c>
      <c r="V39" s="18" t="s">
        <v>74</v>
      </c>
      <c r="W39" s="21" t="s">
        <v>74</v>
      </c>
      <c r="X39" s="21"/>
      <c r="Y39" s="18" t="n">
        <v>3</v>
      </c>
      <c r="Z39" s="18" t="s">
        <v>76</v>
      </c>
      <c r="AD39" s="18" t="s">
        <v>78</v>
      </c>
      <c r="AF39" s="18" t="s">
        <v>129</v>
      </c>
      <c r="AG39" s="18" t="n">
        <f aca="false">COUNTIF($AF$3:$AF$219,AF39)</f>
        <v>1</v>
      </c>
      <c r="AH39" s="18" t="s">
        <v>72</v>
      </c>
      <c r="AI39" s="18" t="s">
        <v>72</v>
      </c>
      <c r="AJ39" s="18" t="s">
        <v>130</v>
      </c>
      <c r="AK39" s="18" t="s">
        <v>46</v>
      </c>
      <c r="AL39" s="22" t="s">
        <v>124</v>
      </c>
      <c r="AM39" s="18" t="s">
        <v>74</v>
      </c>
      <c r="AN39" s="18" t="s">
        <v>131</v>
      </c>
      <c r="AO39" s="18" t="s">
        <v>46</v>
      </c>
      <c r="AP39" s="22" t="s">
        <v>72</v>
      </c>
      <c r="AQ39" s="18" t="s">
        <v>74</v>
      </c>
      <c r="AR39" s="18" t="s">
        <v>131</v>
      </c>
    </row>
    <row r="40" s="18" customFormat="true" ht="24" hidden="false" customHeight="true" outlineLevel="0" collapsed="false">
      <c r="A40" s="18" t="s">
        <v>46</v>
      </c>
      <c r="B40" s="18" t="s">
        <v>46</v>
      </c>
      <c r="C40" s="21" t="s">
        <v>47</v>
      </c>
      <c r="D40" s="18" t="s">
        <v>63</v>
      </c>
      <c r="E40" s="18" t="s">
        <v>44</v>
      </c>
      <c r="F40" s="18" t="s">
        <v>64</v>
      </c>
      <c r="G40" s="21" t="s">
        <v>65</v>
      </c>
      <c r="H40" s="20" t="s">
        <v>48</v>
      </c>
      <c r="S40" s="18" t="s">
        <v>124</v>
      </c>
      <c r="T40" s="18" t="s">
        <v>124</v>
      </c>
      <c r="U40" s="21" t="s">
        <v>125</v>
      </c>
      <c r="V40" s="18" t="s">
        <v>132</v>
      </c>
      <c r="W40" s="18" t="s">
        <v>132</v>
      </c>
      <c r="X40" s="21" t="s">
        <v>133</v>
      </c>
      <c r="Y40" s="18" t="n">
        <v>4</v>
      </c>
      <c r="Z40" s="18" t="s">
        <v>81</v>
      </c>
      <c r="AB40" s="18" t="s">
        <v>134</v>
      </c>
      <c r="AD40" s="18" t="s">
        <v>78</v>
      </c>
      <c r="AG40" s="18" t="n">
        <f aca="false">COUNTIF($AF$3:$AF$219,AF40)</f>
        <v>0</v>
      </c>
      <c r="AI40" s="21"/>
    </row>
    <row r="41" s="18" customFormat="true" ht="24" hidden="false" customHeight="true" outlineLevel="0" collapsed="false">
      <c r="A41" s="18" t="s">
        <v>46</v>
      </c>
      <c r="B41" s="18" t="s">
        <v>46</v>
      </c>
      <c r="C41" s="21" t="s">
        <v>47</v>
      </c>
      <c r="D41" s="18" t="s">
        <v>63</v>
      </c>
      <c r="E41" s="18" t="s">
        <v>44</v>
      </c>
      <c r="F41" s="18" t="s">
        <v>64</v>
      </c>
      <c r="G41" s="21" t="s">
        <v>65</v>
      </c>
      <c r="H41" s="20" t="s">
        <v>48</v>
      </c>
      <c r="S41" s="18" t="s">
        <v>124</v>
      </c>
      <c r="T41" s="18" t="s">
        <v>124</v>
      </c>
      <c r="U41" s="21" t="s">
        <v>125</v>
      </c>
      <c r="V41" s="18" t="s">
        <v>135</v>
      </c>
      <c r="W41" s="21" t="s">
        <v>135</v>
      </c>
      <c r="X41" s="18" t="s">
        <v>136</v>
      </c>
      <c r="Y41" s="18" t="n">
        <v>5</v>
      </c>
      <c r="Z41" s="18" t="s">
        <v>81</v>
      </c>
      <c r="AD41" s="18" t="s">
        <v>78</v>
      </c>
      <c r="AG41" s="18" t="n">
        <f aca="false">COUNTIF($AF$3:$AF$219,AF41)</f>
        <v>0</v>
      </c>
      <c r="AI41" s="21"/>
    </row>
    <row r="42" s="18" customFormat="true" ht="24" hidden="false" customHeight="true" outlineLevel="0" collapsed="false">
      <c r="A42" s="18" t="s">
        <v>46</v>
      </c>
      <c r="B42" s="18" t="s">
        <v>46</v>
      </c>
      <c r="C42" s="21" t="s">
        <v>47</v>
      </c>
      <c r="D42" s="18" t="s">
        <v>63</v>
      </c>
      <c r="E42" s="18" t="s">
        <v>44</v>
      </c>
      <c r="F42" s="18" t="s">
        <v>64</v>
      </c>
      <c r="G42" s="21" t="s">
        <v>65</v>
      </c>
      <c r="H42" s="20" t="s">
        <v>48</v>
      </c>
      <c r="S42" s="18" t="s">
        <v>124</v>
      </c>
      <c r="T42" s="18" t="s">
        <v>124</v>
      </c>
      <c r="U42" s="21" t="s">
        <v>125</v>
      </c>
      <c r="V42" s="18" t="s">
        <v>137</v>
      </c>
      <c r="W42" s="21" t="s">
        <v>137</v>
      </c>
      <c r="X42" s="21"/>
      <c r="Y42" s="18" t="n">
        <v>6</v>
      </c>
      <c r="Z42" s="18" t="s">
        <v>81</v>
      </c>
      <c r="AD42" s="18" t="s">
        <v>78</v>
      </c>
      <c r="AG42" s="18" t="n">
        <f aca="false">COUNTIF($AF$3:$AF$219,AF42)</f>
        <v>0</v>
      </c>
      <c r="AI42" s="21"/>
    </row>
    <row r="43" s="18" customFormat="true" ht="24" hidden="false" customHeight="true" outlineLevel="0" collapsed="false">
      <c r="A43" s="18" t="s">
        <v>46</v>
      </c>
      <c r="B43" s="18" t="s">
        <v>46</v>
      </c>
      <c r="C43" s="21" t="s">
        <v>47</v>
      </c>
      <c r="D43" s="18" t="s">
        <v>63</v>
      </c>
      <c r="E43" s="18" t="s">
        <v>44</v>
      </c>
      <c r="F43" s="18" t="s">
        <v>64</v>
      </c>
      <c r="G43" s="21" t="s">
        <v>65</v>
      </c>
      <c r="H43" s="20" t="s">
        <v>48</v>
      </c>
      <c r="S43" s="18" t="s">
        <v>124</v>
      </c>
      <c r="T43" s="18" t="s">
        <v>124</v>
      </c>
      <c r="U43" s="21" t="s">
        <v>125</v>
      </c>
      <c r="V43" s="18" t="s">
        <v>138</v>
      </c>
      <c r="W43" s="21" t="s">
        <v>138</v>
      </c>
      <c r="X43" s="21"/>
      <c r="Y43" s="18" t="n">
        <v>7</v>
      </c>
      <c r="Z43" s="18" t="s">
        <v>81</v>
      </c>
      <c r="AD43" s="18" t="s">
        <v>78</v>
      </c>
      <c r="AG43" s="18" t="n">
        <f aca="false">COUNTIF($AF$3:$AF$219,AF43)</f>
        <v>0</v>
      </c>
      <c r="AI43" s="21"/>
    </row>
    <row r="44" s="18" customFormat="true" ht="24" hidden="false" customHeight="true" outlineLevel="0" collapsed="false">
      <c r="A44" s="18" t="s">
        <v>46</v>
      </c>
      <c r="B44" s="18" t="s">
        <v>46</v>
      </c>
      <c r="C44" s="21" t="s">
        <v>47</v>
      </c>
      <c r="D44" s="18" t="s">
        <v>63</v>
      </c>
      <c r="E44" s="18" t="s">
        <v>44</v>
      </c>
      <c r="F44" s="18" t="s">
        <v>64</v>
      </c>
      <c r="G44" s="21" t="s">
        <v>65</v>
      </c>
      <c r="H44" s="20" t="s">
        <v>48</v>
      </c>
      <c r="S44" s="18" t="s">
        <v>124</v>
      </c>
      <c r="T44" s="18" t="s">
        <v>124</v>
      </c>
      <c r="U44" s="21" t="s">
        <v>125</v>
      </c>
      <c r="V44" s="18" t="s">
        <v>139</v>
      </c>
      <c r="W44" s="21" t="s">
        <v>139</v>
      </c>
      <c r="X44" s="21"/>
      <c r="Y44" s="18" t="n">
        <v>8</v>
      </c>
      <c r="Z44" s="18" t="s">
        <v>81</v>
      </c>
      <c r="AD44" s="18" t="s">
        <v>78</v>
      </c>
      <c r="AG44" s="18" t="n">
        <f aca="false">COUNTIF($AF$3:$AF$219,AF44)</f>
        <v>0</v>
      </c>
      <c r="AI44" s="21"/>
    </row>
    <row r="45" s="18" customFormat="true" ht="24" hidden="false" customHeight="true" outlineLevel="0" collapsed="false">
      <c r="A45" s="18" t="s">
        <v>46</v>
      </c>
      <c r="B45" s="18" t="s">
        <v>46</v>
      </c>
      <c r="C45" s="21" t="s">
        <v>47</v>
      </c>
      <c r="D45" s="18" t="s">
        <v>63</v>
      </c>
      <c r="E45" s="18" t="s">
        <v>44</v>
      </c>
      <c r="F45" s="18" t="s">
        <v>64</v>
      </c>
      <c r="G45" s="21" t="s">
        <v>65</v>
      </c>
      <c r="H45" s="20" t="s">
        <v>48</v>
      </c>
      <c r="S45" s="18" t="s">
        <v>124</v>
      </c>
      <c r="T45" s="18" t="s">
        <v>124</v>
      </c>
      <c r="U45" s="21" t="s">
        <v>125</v>
      </c>
      <c r="V45" s="18" t="s">
        <v>140</v>
      </c>
      <c r="W45" s="21" t="s">
        <v>140</v>
      </c>
      <c r="X45" s="21" t="s">
        <v>141</v>
      </c>
      <c r="Y45" s="18" t="n">
        <v>9</v>
      </c>
      <c r="Z45" s="18" t="s">
        <v>142</v>
      </c>
      <c r="AD45" s="18" t="s">
        <v>78</v>
      </c>
      <c r="AG45" s="18" t="n">
        <f aca="false">COUNTIF($AF$3:$AF$219,AF45)</f>
        <v>0</v>
      </c>
      <c r="AI45" s="21"/>
    </row>
    <row r="46" s="18" customFormat="true" ht="24" hidden="false" customHeight="true" outlineLevel="0" collapsed="false">
      <c r="A46" s="18" t="s">
        <v>46</v>
      </c>
      <c r="B46" s="18" t="s">
        <v>46</v>
      </c>
      <c r="C46" s="21" t="s">
        <v>47</v>
      </c>
      <c r="D46" s="18" t="s">
        <v>63</v>
      </c>
      <c r="E46" s="18" t="s">
        <v>44</v>
      </c>
      <c r="F46" s="18" t="s">
        <v>64</v>
      </c>
      <c r="G46" s="21" t="s">
        <v>65</v>
      </c>
      <c r="H46" s="20" t="s">
        <v>48</v>
      </c>
      <c r="S46" s="18" t="s">
        <v>124</v>
      </c>
      <c r="T46" s="18" t="s">
        <v>124</v>
      </c>
      <c r="U46" s="21" t="s">
        <v>125</v>
      </c>
      <c r="V46" s="18" t="s">
        <v>143</v>
      </c>
      <c r="W46" s="21" t="s">
        <v>143</v>
      </c>
      <c r="X46" s="21" t="s">
        <v>144</v>
      </c>
      <c r="Y46" s="18" t="n">
        <v>10</v>
      </c>
      <c r="Z46" s="18" t="s">
        <v>81</v>
      </c>
      <c r="AD46" s="18" t="s">
        <v>78</v>
      </c>
      <c r="AG46" s="18" t="n">
        <f aca="false">COUNTIF($AF$3:$AF$219,AF46)</f>
        <v>0</v>
      </c>
      <c r="AI46" s="21"/>
    </row>
    <row r="47" s="18" customFormat="true" ht="24" hidden="false" customHeight="true" outlineLevel="0" collapsed="false">
      <c r="A47" s="18" t="s">
        <v>46</v>
      </c>
      <c r="B47" s="18" t="s">
        <v>46</v>
      </c>
      <c r="C47" s="21" t="s">
        <v>47</v>
      </c>
      <c r="D47" s="18" t="s">
        <v>63</v>
      </c>
      <c r="E47" s="18" t="s">
        <v>44</v>
      </c>
      <c r="F47" s="18" t="s">
        <v>64</v>
      </c>
      <c r="G47" s="21" t="s">
        <v>65</v>
      </c>
      <c r="H47" s="20" t="s">
        <v>48</v>
      </c>
      <c r="S47" s="18" t="s">
        <v>124</v>
      </c>
      <c r="T47" s="18" t="s">
        <v>124</v>
      </c>
      <c r="U47" s="21" t="s">
        <v>125</v>
      </c>
      <c r="V47" s="18" t="s">
        <v>145</v>
      </c>
      <c r="W47" s="21" t="s">
        <v>145</v>
      </c>
      <c r="X47" s="21" t="s">
        <v>146</v>
      </c>
      <c r="Y47" s="18" t="n">
        <v>11</v>
      </c>
      <c r="Z47" s="18" t="s">
        <v>81</v>
      </c>
      <c r="AD47" s="18" t="s">
        <v>78</v>
      </c>
      <c r="AG47" s="18" t="n">
        <f aca="false">COUNTIF($AF$3:$AF$219,AF47)</f>
        <v>0</v>
      </c>
      <c r="AI47" s="21"/>
    </row>
    <row r="48" s="18" customFormat="true" ht="24" hidden="false" customHeight="true" outlineLevel="0" collapsed="false">
      <c r="A48" s="18" t="s">
        <v>46</v>
      </c>
      <c r="B48" s="18" t="s">
        <v>46</v>
      </c>
      <c r="C48" s="21" t="s">
        <v>47</v>
      </c>
      <c r="D48" s="18" t="s">
        <v>63</v>
      </c>
      <c r="E48" s="18" t="s">
        <v>44</v>
      </c>
      <c r="F48" s="18" t="s">
        <v>64</v>
      </c>
      <c r="G48" s="21" t="s">
        <v>65</v>
      </c>
      <c r="H48" s="20" t="s">
        <v>48</v>
      </c>
      <c r="S48" s="18" t="s">
        <v>124</v>
      </c>
      <c r="T48" s="18" t="s">
        <v>124</v>
      </c>
      <c r="U48" s="21" t="s">
        <v>125</v>
      </c>
      <c r="V48" s="18" t="s">
        <v>147</v>
      </c>
      <c r="W48" s="21" t="s">
        <v>147</v>
      </c>
      <c r="X48" s="21" t="s">
        <v>148</v>
      </c>
      <c r="Y48" s="18" t="n">
        <v>12</v>
      </c>
      <c r="Z48" s="18" t="s">
        <v>81</v>
      </c>
      <c r="AD48" s="18" t="s">
        <v>78</v>
      </c>
      <c r="AG48" s="18" t="n">
        <f aca="false">COUNTIF($AF$3:$AF$219,AF48)</f>
        <v>0</v>
      </c>
      <c r="AI48" s="21"/>
    </row>
    <row r="49" s="20" customFormat="true" ht="24" hidden="false" customHeight="true" outlineLevel="0" collapsed="false">
      <c r="A49" s="20" t="s">
        <v>46</v>
      </c>
      <c r="B49" s="20" t="s">
        <v>46</v>
      </c>
      <c r="C49" s="19" t="s">
        <v>47</v>
      </c>
      <c r="D49" s="18" t="s">
        <v>54</v>
      </c>
      <c r="E49" s="18" t="s">
        <v>44</v>
      </c>
      <c r="F49" s="20" t="s">
        <v>55</v>
      </c>
      <c r="G49" s="19" t="s">
        <v>56</v>
      </c>
      <c r="H49" s="20" t="s">
        <v>48</v>
      </c>
      <c r="S49" s="20" t="s">
        <v>149</v>
      </c>
      <c r="T49" s="20" t="s">
        <v>150</v>
      </c>
      <c r="U49" s="19" t="s">
        <v>151</v>
      </c>
      <c r="V49" s="20" t="s">
        <v>152</v>
      </c>
      <c r="W49" s="19" t="s">
        <v>152</v>
      </c>
      <c r="X49" s="19" t="s">
        <v>75</v>
      </c>
      <c r="Y49" s="20" t="n">
        <v>0</v>
      </c>
      <c r="Z49" s="20" t="s">
        <v>76</v>
      </c>
      <c r="AD49" s="20" t="s">
        <v>77</v>
      </c>
      <c r="AE49" s="20" t="s">
        <v>78</v>
      </c>
      <c r="AG49" s="20" t="n">
        <f aca="false">COUNTIF($AF$3:$AF$219,AF49)</f>
        <v>0</v>
      </c>
      <c r="AI49" s="19"/>
    </row>
    <row r="50" s="20" customFormat="true" ht="24" hidden="false" customHeight="true" outlineLevel="0" collapsed="false">
      <c r="A50" s="20" t="s">
        <v>46</v>
      </c>
      <c r="B50" s="20" t="s">
        <v>46</v>
      </c>
      <c r="C50" s="19" t="s">
        <v>47</v>
      </c>
      <c r="D50" s="18" t="s">
        <v>54</v>
      </c>
      <c r="E50" s="18" t="s">
        <v>44</v>
      </c>
      <c r="F50" s="20" t="s">
        <v>55</v>
      </c>
      <c r="G50" s="19" t="s">
        <v>56</v>
      </c>
      <c r="H50" s="20" t="s">
        <v>48</v>
      </c>
      <c r="S50" s="20" t="s">
        <v>149</v>
      </c>
      <c r="T50" s="20" t="s">
        <v>150</v>
      </c>
      <c r="U50" s="19" t="s">
        <v>151</v>
      </c>
      <c r="V50" s="20" t="s">
        <v>153</v>
      </c>
      <c r="W50" s="19" t="s">
        <v>153</v>
      </c>
      <c r="X50" s="19" t="s">
        <v>154</v>
      </c>
      <c r="Y50" s="20" t="n">
        <v>1</v>
      </c>
      <c r="Z50" s="20" t="s">
        <v>81</v>
      </c>
      <c r="AD50" s="20" t="s">
        <v>77</v>
      </c>
      <c r="AG50" s="20" t="n">
        <f aca="false">COUNTIF($AF$3:$AF$219,AF50)</f>
        <v>0</v>
      </c>
      <c r="AI50" s="19"/>
    </row>
    <row r="51" s="20" customFormat="true" ht="24" hidden="false" customHeight="true" outlineLevel="0" collapsed="false">
      <c r="A51" s="20" t="s">
        <v>46</v>
      </c>
      <c r="B51" s="20" t="s">
        <v>46</v>
      </c>
      <c r="C51" s="19" t="s">
        <v>47</v>
      </c>
      <c r="D51" s="18" t="s">
        <v>54</v>
      </c>
      <c r="E51" s="18" t="s">
        <v>44</v>
      </c>
      <c r="F51" s="20" t="s">
        <v>55</v>
      </c>
      <c r="G51" s="19" t="s">
        <v>56</v>
      </c>
      <c r="H51" s="20" t="s">
        <v>48</v>
      </c>
      <c r="S51" s="20" t="s">
        <v>149</v>
      </c>
      <c r="T51" s="20" t="s">
        <v>150</v>
      </c>
      <c r="U51" s="19" t="s">
        <v>151</v>
      </c>
      <c r="V51" s="20" t="s">
        <v>155</v>
      </c>
      <c r="W51" s="19" t="s">
        <v>155</v>
      </c>
      <c r="X51" s="19"/>
      <c r="Y51" s="20" t="n">
        <v>2</v>
      </c>
      <c r="Z51" s="20" t="s">
        <v>76</v>
      </c>
      <c r="AD51" s="20" t="s">
        <v>77</v>
      </c>
      <c r="AF51" s="20" t="s">
        <v>156</v>
      </c>
      <c r="AG51" s="20" t="n">
        <f aca="false">COUNTIF($AF$3:$AF$219,AF51)</f>
        <v>1</v>
      </c>
      <c r="AH51" s="20" t="s">
        <v>155</v>
      </c>
      <c r="AI51" s="19" t="s">
        <v>157</v>
      </c>
      <c r="AJ51" s="20" t="s">
        <v>130</v>
      </c>
      <c r="AK51" s="20" t="s">
        <v>46</v>
      </c>
      <c r="AL51" s="23" t="s">
        <v>149</v>
      </c>
      <c r="AM51" s="20" t="s">
        <v>155</v>
      </c>
      <c r="AN51" s="20" t="s">
        <v>131</v>
      </c>
      <c r="AO51" s="20" t="s">
        <v>46</v>
      </c>
      <c r="AP51" s="23" t="s">
        <v>124</v>
      </c>
      <c r="AQ51" s="20" t="s">
        <v>126</v>
      </c>
      <c r="AR51" s="20" t="s">
        <v>131</v>
      </c>
    </row>
    <row r="52" s="20" customFormat="true" ht="24" hidden="false" customHeight="true" outlineLevel="0" collapsed="false">
      <c r="A52" s="20" t="s">
        <v>46</v>
      </c>
      <c r="B52" s="20" t="s">
        <v>46</v>
      </c>
      <c r="C52" s="19" t="s">
        <v>47</v>
      </c>
      <c r="D52" s="18" t="s">
        <v>54</v>
      </c>
      <c r="E52" s="18" t="s">
        <v>44</v>
      </c>
      <c r="F52" s="20" t="s">
        <v>55</v>
      </c>
      <c r="G52" s="19" t="s">
        <v>56</v>
      </c>
      <c r="H52" s="20" t="s">
        <v>48</v>
      </c>
      <c r="S52" s="20" t="s">
        <v>149</v>
      </c>
      <c r="T52" s="20" t="s">
        <v>150</v>
      </c>
      <c r="U52" s="19" t="s">
        <v>151</v>
      </c>
      <c r="V52" s="20" t="s">
        <v>158</v>
      </c>
      <c r="W52" s="20" t="s">
        <v>158</v>
      </c>
      <c r="X52" s="19" t="s">
        <v>159</v>
      </c>
      <c r="Y52" s="20" t="n">
        <v>3</v>
      </c>
      <c r="Z52" s="20" t="s">
        <v>76</v>
      </c>
      <c r="AD52" s="20" t="s">
        <v>77</v>
      </c>
      <c r="AF52" s="20" t="s">
        <v>160</v>
      </c>
      <c r="AG52" s="20" t="n">
        <v>1</v>
      </c>
      <c r="AH52" s="20" t="s">
        <v>161</v>
      </c>
      <c r="AI52" s="19" t="s">
        <v>162</v>
      </c>
      <c r="AJ52" s="20" t="s">
        <v>130</v>
      </c>
      <c r="AK52" s="20" t="s">
        <v>46</v>
      </c>
      <c r="AL52" s="23" t="s">
        <v>149</v>
      </c>
      <c r="AM52" s="20" t="s">
        <v>158</v>
      </c>
      <c r="AN52" s="20" t="s">
        <v>163</v>
      </c>
      <c r="AO52" s="20" t="s">
        <v>46</v>
      </c>
      <c r="AP52" s="23" t="s">
        <v>58</v>
      </c>
      <c r="AQ52" s="20" t="s">
        <v>158</v>
      </c>
      <c r="AR52" s="20" t="s">
        <v>131</v>
      </c>
    </row>
    <row r="53" s="20" customFormat="true" ht="24" hidden="false" customHeight="true" outlineLevel="0" collapsed="false">
      <c r="A53" s="20" t="s">
        <v>46</v>
      </c>
      <c r="B53" s="20" t="s">
        <v>46</v>
      </c>
      <c r="C53" s="19" t="s">
        <v>47</v>
      </c>
      <c r="D53" s="18" t="s">
        <v>54</v>
      </c>
      <c r="E53" s="18" t="s">
        <v>44</v>
      </c>
      <c r="F53" s="20" t="s">
        <v>55</v>
      </c>
      <c r="G53" s="19" t="s">
        <v>56</v>
      </c>
      <c r="H53" s="20" t="s">
        <v>48</v>
      </c>
      <c r="S53" s="20" t="s">
        <v>149</v>
      </c>
      <c r="T53" s="20" t="s">
        <v>150</v>
      </c>
      <c r="U53" s="19" t="s">
        <v>151</v>
      </c>
      <c r="V53" s="20" t="s">
        <v>164</v>
      </c>
      <c r="W53" s="20" t="s">
        <v>164</v>
      </c>
      <c r="X53" s="20" t="s">
        <v>164</v>
      </c>
      <c r="Y53" s="20" t="n">
        <v>4</v>
      </c>
      <c r="Z53" s="20" t="s">
        <v>165</v>
      </c>
      <c r="AD53" s="20" t="s">
        <v>77</v>
      </c>
      <c r="AG53" s="20" t="n">
        <f aca="false">COUNTIF($AF$3:$AF$219,AF53)</f>
        <v>0</v>
      </c>
      <c r="AI53" s="19"/>
    </row>
    <row r="54" s="20" customFormat="true" ht="24" hidden="false" customHeight="true" outlineLevel="0" collapsed="false">
      <c r="A54" s="20" t="s">
        <v>46</v>
      </c>
      <c r="B54" s="20" t="s">
        <v>46</v>
      </c>
      <c r="C54" s="19" t="s">
        <v>47</v>
      </c>
      <c r="D54" s="18" t="s">
        <v>54</v>
      </c>
      <c r="E54" s="18" t="s">
        <v>44</v>
      </c>
      <c r="F54" s="20" t="s">
        <v>55</v>
      </c>
      <c r="G54" s="19" t="s">
        <v>56</v>
      </c>
      <c r="H54" s="20" t="s">
        <v>48</v>
      </c>
      <c r="S54" s="20" t="s">
        <v>149</v>
      </c>
      <c r="T54" s="20" t="s">
        <v>150</v>
      </c>
      <c r="U54" s="19" t="s">
        <v>151</v>
      </c>
      <c r="V54" s="20" t="s">
        <v>166</v>
      </c>
      <c r="W54" s="20" t="s">
        <v>166</v>
      </c>
      <c r="X54" s="19" t="s">
        <v>167</v>
      </c>
      <c r="Y54" s="20" t="n">
        <v>5</v>
      </c>
      <c r="Z54" s="20" t="s">
        <v>81</v>
      </c>
      <c r="AD54" s="20" t="s">
        <v>77</v>
      </c>
      <c r="AG54" s="20" t="n">
        <f aca="false">COUNTIF($AF$3:$AF$219,AF54)</f>
        <v>0</v>
      </c>
      <c r="AI54" s="19"/>
    </row>
    <row r="55" s="18" customFormat="true" ht="24" hidden="false" customHeight="true" outlineLevel="0" collapsed="false">
      <c r="A55" s="18" t="s">
        <v>46</v>
      </c>
      <c r="B55" s="18" t="s">
        <v>46</v>
      </c>
      <c r="C55" s="21" t="s">
        <v>47</v>
      </c>
      <c r="D55" s="18" t="s">
        <v>52</v>
      </c>
      <c r="E55" s="18" t="s">
        <v>44</v>
      </c>
      <c r="F55" s="18" t="s">
        <v>52</v>
      </c>
      <c r="G55" s="21" t="s">
        <v>53</v>
      </c>
      <c r="H55" s="20" t="s">
        <v>48</v>
      </c>
      <c r="S55" s="18" t="s">
        <v>168</v>
      </c>
      <c r="T55" s="18" t="s">
        <v>168</v>
      </c>
      <c r="U55" s="21" t="s">
        <v>169</v>
      </c>
      <c r="V55" s="18" t="s">
        <v>170</v>
      </c>
      <c r="W55" s="18" t="s">
        <v>170</v>
      </c>
      <c r="X55" s="21" t="s">
        <v>75</v>
      </c>
      <c r="Y55" s="18" t="n">
        <v>0</v>
      </c>
      <c r="Z55" s="18" t="s">
        <v>76</v>
      </c>
      <c r="AD55" s="18" t="s">
        <v>77</v>
      </c>
      <c r="AE55" s="18" t="s">
        <v>78</v>
      </c>
      <c r="AG55" s="18" t="n">
        <f aca="false">COUNTIF($AF$3:$AF$219,AF55)</f>
        <v>0</v>
      </c>
      <c r="AI55" s="21"/>
    </row>
    <row r="56" s="18" customFormat="true" ht="24" hidden="false" customHeight="true" outlineLevel="0" collapsed="false">
      <c r="A56" s="18" t="s">
        <v>46</v>
      </c>
      <c r="B56" s="18" t="s">
        <v>46</v>
      </c>
      <c r="C56" s="21" t="s">
        <v>47</v>
      </c>
      <c r="D56" s="18" t="s">
        <v>52</v>
      </c>
      <c r="E56" s="18" t="s">
        <v>44</v>
      </c>
      <c r="F56" s="18" t="s">
        <v>52</v>
      </c>
      <c r="G56" s="21" t="s">
        <v>53</v>
      </c>
      <c r="H56" s="20" t="s">
        <v>48</v>
      </c>
      <c r="S56" s="18" t="s">
        <v>168</v>
      </c>
      <c r="T56" s="18" t="s">
        <v>168</v>
      </c>
      <c r="U56" s="21" t="s">
        <v>169</v>
      </c>
      <c r="V56" s="18" t="s">
        <v>171</v>
      </c>
      <c r="W56" s="21" t="s">
        <v>171</v>
      </c>
      <c r="X56" s="21"/>
      <c r="Y56" s="18" t="n">
        <v>1</v>
      </c>
      <c r="Z56" s="18" t="s">
        <v>76</v>
      </c>
      <c r="AD56" s="18" t="s">
        <v>77</v>
      </c>
      <c r="AF56" s="18" t="s">
        <v>172</v>
      </c>
      <c r="AG56" s="18" t="n">
        <f aca="false">COUNTIF($AF$3:$AF$219,AF56)</f>
        <v>1</v>
      </c>
      <c r="AH56" s="18" t="s">
        <v>173</v>
      </c>
      <c r="AI56" s="21"/>
      <c r="AJ56" s="18" t="s">
        <v>130</v>
      </c>
      <c r="AK56" s="18" t="s">
        <v>46</v>
      </c>
      <c r="AL56" s="22" t="s">
        <v>168</v>
      </c>
      <c r="AM56" s="18" t="s">
        <v>171</v>
      </c>
      <c r="AN56" s="18" t="s">
        <v>163</v>
      </c>
      <c r="AO56" s="18" t="s">
        <v>46</v>
      </c>
      <c r="AP56" s="22" t="s">
        <v>173</v>
      </c>
      <c r="AQ56" s="18" t="s">
        <v>171</v>
      </c>
      <c r="AR56" s="18" t="s">
        <v>131</v>
      </c>
    </row>
    <row r="57" s="18" customFormat="true" ht="24" hidden="false" customHeight="true" outlineLevel="0" collapsed="false">
      <c r="A57" s="18" t="s">
        <v>46</v>
      </c>
      <c r="B57" s="18" t="s">
        <v>46</v>
      </c>
      <c r="C57" s="21" t="s">
        <v>47</v>
      </c>
      <c r="D57" s="18" t="s">
        <v>52</v>
      </c>
      <c r="E57" s="18" t="s">
        <v>44</v>
      </c>
      <c r="F57" s="18" t="s">
        <v>52</v>
      </c>
      <c r="G57" s="21" t="s">
        <v>53</v>
      </c>
      <c r="H57" s="20" t="s">
        <v>48</v>
      </c>
      <c r="S57" s="18" t="s">
        <v>168</v>
      </c>
      <c r="T57" s="18" t="s">
        <v>168</v>
      </c>
      <c r="U57" s="21" t="s">
        <v>169</v>
      </c>
      <c r="V57" s="18" t="s">
        <v>152</v>
      </c>
      <c r="W57" s="21" t="s">
        <v>152</v>
      </c>
      <c r="X57" s="21"/>
      <c r="Y57" s="18" t="n">
        <v>2</v>
      </c>
      <c r="Z57" s="18" t="s">
        <v>76</v>
      </c>
      <c r="AD57" s="18" t="s">
        <v>77</v>
      </c>
      <c r="AF57" s="18" t="s">
        <v>174</v>
      </c>
      <c r="AG57" s="18" t="n">
        <f aca="false">COUNTIF($AF$3:$AF$219,AF57)</f>
        <v>1</v>
      </c>
      <c r="AH57" s="18" t="s">
        <v>149</v>
      </c>
      <c r="AI57" s="21"/>
      <c r="AJ57" s="18" t="s">
        <v>130</v>
      </c>
      <c r="AK57" s="18" t="s">
        <v>46</v>
      </c>
      <c r="AL57" s="22" t="s">
        <v>168</v>
      </c>
      <c r="AM57" s="18" t="s">
        <v>152</v>
      </c>
      <c r="AN57" s="18" t="s">
        <v>163</v>
      </c>
      <c r="AO57" s="18" t="s">
        <v>46</v>
      </c>
      <c r="AP57" s="22" t="s">
        <v>149</v>
      </c>
      <c r="AQ57" s="18" t="s">
        <v>152</v>
      </c>
      <c r="AR57" s="18" t="s">
        <v>131</v>
      </c>
    </row>
    <row r="58" s="20" customFormat="true" ht="24" hidden="false" customHeight="true" outlineLevel="0" collapsed="false">
      <c r="A58" s="20" t="s">
        <v>46</v>
      </c>
      <c r="B58" s="20" t="s">
        <v>46</v>
      </c>
      <c r="C58" s="19" t="s">
        <v>47</v>
      </c>
      <c r="D58" s="18" t="s">
        <v>52</v>
      </c>
      <c r="E58" s="18" t="s">
        <v>44</v>
      </c>
      <c r="F58" s="20" t="s">
        <v>52</v>
      </c>
      <c r="G58" s="19" t="s">
        <v>53</v>
      </c>
      <c r="H58" s="20" t="s">
        <v>48</v>
      </c>
      <c r="S58" s="20" t="s">
        <v>175</v>
      </c>
      <c r="T58" s="20" t="s">
        <v>176</v>
      </c>
      <c r="U58" s="19" t="s">
        <v>177</v>
      </c>
      <c r="V58" s="20" t="s">
        <v>178</v>
      </c>
      <c r="W58" s="19" t="s">
        <v>179</v>
      </c>
      <c r="X58" s="19" t="s">
        <v>75</v>
      </c>
      <c r="Y58" s="20" t="n">
        <v>0</v>
      </c>
      <c r="Z58" s="20" t="s">
        <v>76</v>
      </c>
      <c r="AD58" s="20" t="s">
        <v>77</v>
      </c>
      <c r="AE58" s="20" t="s">
        <v>78</v>
      </c>
      <c r="AG58" s="20" t="n">
        <f aca="false">COUNTIF($AF$3:$AF$219,AF58)</f>
        <v>0</v>
      </c>
      <c r="AI58" s="19"/>
    </row>
    <row r="59" s="20" customFormat="true" ht="24" hidden="false" customHeight="true" outlineLevel="0" collapsed="false">
      <c r="A59" s="20" t="s">
        <v>46</v>
      </c>
      <c r="B59" s="20" t="s">
        <v>46</v>
      </c>
      <c r="C59" s="19" t="s">
        <v>47</v>
      </c>
      <c r="D59" s="18" t="s">
        <v>52</v>
      </c>
      <c r="E59" s="18" t="s">
        <v>44</v>
      </c>
      <c r="F59" s="20" t="s">
        <v>52</v>
      </c>
      <c r="G59" s="19" t="s">
        <v>53</v>
      </c>
      <c r="H59" s="20" t="s">
        <v>48</v>
      </c>
      <c r="S59" s="20" t="s">
        <v>175</v>
      </c>
      <c r="T59" s="20" t="s">
        <v>176</v>
      </c>
      <c r="U59" s="19" t="s">
        <v>177</v>
      </c>
      <c r="V59" s="20" t="s">
        <v>180</v>
      </c>
      <c r="W59" s="19" t="s">
        <v>181</v>
      </c>
      <c r="X59" s="19" t="s">
        <v>182</v>
      </c>
      <c r="Y59" s="20" t="n">
        <v>1</v>
      </c>
      <c r="Z59" s="20" t="s">
        <v>76</v>
      </c>
      <c r="AD59" s="20" t="s">
        <v>78</v>
      </c>
      <c r="AF59" s="20" t="s">
        <v>183</v>
      </c>
      <c r="AG59" s="20" t="n">
        <f aca="false">COUNTIF($AF$3:$AF$219,AF59)</f>
        <v>1</v>
      </c>
      <c r="AH59" s="20" t="s">
        <v>184</v>
      </c>
      <c r="AI59" s="19"/>
      <c r="AJ59" s="20" t="s">
        <v>130</v>
      </c>
      <c r="AK59" s="20" t="s">
        <v>46</v>
      </c>
      <c r="AL59" s="23" t="s">
        <v>175</v>
      </c>
      <c r="AM59" s="20" t="s">
        <v>180</v>
      </c>
      <c r="AN59" s="20" t="s">
        <v>131</v>
      </c>
      <c r="AO59" s="20" t="s">
        <v>46</v>
      </c>
      <c r="AP59" s="23" t="s">
        <v>175</v>
      </c>
      <c r="AQ59" s="20" t="s">
        <v>178</v>
      </c>
      <c r="AR59" s="20" t="s">
        <v>131</v>
      </c>
    </row>
    <row r="60" s="20" customFormat="true" ht="24" hidden="false" customHeight="true" outlineLevel="0" collapsed="false">
      <c r="A60" s="20" t="s">
        <v>46</v>
      </c>
      <c r="B60" s="20" t="s">
        <v>46</v>
      </c>
      <c r="C60" s="19" t="s">
        <v>47</v>
      </c>
      <c r="D60" s="18" t="s">
        <v>52</v>
      </c>
      <c r="E60" s="18" t="s">
        <v>44</v>
      </c>
      <c r="F60" s="20" t="s">
        <v>52</v>
      </c>
      <c r="G60" s="19" t="s">
        <v>53</v>
      </c>
      <c r="H60" s="20" t="s">
        <v>48</v>
      </c>
      <c r="S60" s="20" t="s">
        <v>175</v>
      </c>
      <c r="T60" s="20" t="s">
        <v>176</v>
      </c>
      <c r="U60" s="19" t="s">
        <v>177</v>
      </c>
      <c r="V60" s="20" t="s">
        <v>152</v>
      </c>
      <c r="W60" s="19" t="s">
        <v>152</v>
      </c>
      <c r="X60" s="19" t="s">
        <v>185</v>
      </c>
      <c r="Y60" s="20" t="n">
        <v>2</v>
      </c>
      <c r="Z60" s="20" t="s">
        <v>76</v>
      </c>
      <c r="AD60" s="20" t="s">
        <v>77</v>
      </c>
      <c r="AF60" s="20" t="s">
        <v>186</v>
      </c>
      <c r="AG60" s="20" t="n">
        <f aca="false">COUNTIF($AF$3:$AF$219,AF60)</f>
        <v>1</v>
      </c>
      <c r="AH60" s="20" t="s">
        <v>187</v>
      </c>
      <c r="AI60" s="19"/>
      <c r="AJ60" s="20" t="s">
        <v>130</v>
      </c>
      <c r="AK60" s="20" t="s">
        <v>46</v>
      </c>
      <c r="AL60" s="23" t="s">
        <v>175</v>
      </c>
      <c r="AM60" s="20" t="s">
        <v>152</v>
      </c>
      <c r="AN60" s="20" t="s">
        <v>163</v>
      </c>
      <c r="AO60" s="20" t="s">
        <v>46</v>
      </c>
      <c r="AP60" s="23" t="s">
        <v>149</v>
      </c>
      <c r="AQ60" s="20" t="s">
        <v>152</v>
      </c>
      <c r="AR60" s="20" t="s">
        <v>131</v>
      </c>
    </row>
    <row r="61" s="20" customFormat="true" ht="24" hidden="false" customHeight="true" outlineLevel="0" collapsed="false">
      <c r="A61" s="20" t="s">
        <v>46</v>
      </c>
      <c r="B61" s="20" t="s">
        <v>46</v>
      </c>
      <c r="C61" s="19" t="s">
        <v>47</v>
      </c>
      <c r="D61" s="18" t="s">
        <v>52</v>
      </c>
      <c r="E61" s="18" t="s">
        <v>44</v>
      </c>
      <c r="F61" s="20" t="s">
        <v>52</v>
      </c>
      <c r="G61" s="19" t="s">
        <v>53</v>
      </c>
      <c r="H61" s="20" t="s">
        <v>48</v>
      </c>
      <c r="S61" s="20" t="s">
        <v>175</v>
      </c>
      <c r="T61" s="20" t="s">
        <v>176</v>
      </c>
      <c r="U61" s="19" t="s">
        <v>177</v>
      </c>
      <c r="V61" s="20" t="s">
        <v>188</v>
      </c>
      <c r="W61" s="20" t="s">
        <v>188</v>
      </c>
      <c r="X61" s="19"/>
      <c r="Y61" s="20" t="n">
        <v>3</v>
      </c>
      <c r="Z61" s="20" t="s">
        <v>188</v>
      </c>
      <c r="AD61" s="20" t="s">
        <v>77</v>
      </c>
      <c r="AG61" s="20" t="n">
        <f aca="false">COUNTIF($AF$3:$AF$219,AF61)</f>
        <v>0</v>
      </c>
      <c r="AI61" s="19"/>
    </row>
    <row r="62" s="20" customFormat="true" ht="24" hidden="false" customHeight="true" outlineLevel="0" collapsed="false">
      <c r="A62" s="20" t="s">
        <v>46</v>
      </c>
      <c r="B62" s="20" t="s">
        <v>46</v>
      </c>
      <c r="C62" s="19" t="s">
        <v>47</v>
      </c>
      <c r="D62" s="18" t="s">
        <v>52</v>
      </c>
      <c r="E62" s="18" t="s">
        <v>44</v>
      </c>
      <c r="F62" s="20" t="s">
        <v>52</v>
      </c>
      <c r="G62" s="19" t="s">
        <v>53</v>
      </c>
      <c r="H62" s="20" t="s">
        <v>48</v>
      </c>
      <c r="S62" s="20" t="s">
        <v>175</v>
      </c>
      <c r="T62" s="20" t="s">
        <v>176</v>
      </c>
      <c r="U62" s="19" t="s">
        <v>177</v>
      </c>
      <c r="V62" s="20" t="s">
        <v>189</v>
      </c>
      <c r="W62" s="20" t="s">
        <v>189</v>
      </c>
      <c r="X62" s="19" t="s">
        <v>190</v>
      </c>
      <c r="Y62" s="20" t="n">
        <v>4</v>
      </c>
      <c r="Z62" s="20" t="s">
        <v>191</v>
      </c>
      <c r="AD62" s="20" t="s">
        <v>77</v>
      </c>
      <c r="AG62" s="20" t="n">
        <f aca="false">COUNTIF($AF$3:$AF$219,AF62)</f>
        <v>0</v>
      </c>
      <c r="AI62" s="19"/>
    </row>
    <row r="63" s="20" customFormat="true" ht="24" hidden="false" customHeight="true" outlineLevel="0" collapsed="false">
      <c r="A63" s="20" t="s">
        <v>46</v>
      </c>
      <c r="B63" s="20" t="s">
        <v>46</v>
      </c>
      <c r="C63" s="19" t="s">
        <v>47</v>
      </c>
      <c r="D63" s="18" t="s">
        <v>52</v>
      </c>
      <c r="E63" s="18" t="s">
        <v>44</v>
      </c>
      <c r="F63" s="20" t="s">
        <v>52</v>
      </c>
      <c r="G63" s="19" t="s">
        <v>53</v>
      </c>
      <c r="H63" s="20" t="s">
        <v>48</v>
      </c>
      <c r="S63" s="20" t="s">
        <v>175</v>
      </c>
      <c r="T63" s="20" t="s">
        <v>176</v>
      </c>
      <c r="U63" s="19" t="s">
        <v>177</v>
      </c>
      <c r="V63" s="20" t="s">
        <v>192</v>
      </c>
      <c r="W63" s="20" t="s">
        <v>192</v>
      </c>
      <c r="X63" s="19" t="s">
        <v>193</v>
      </c>
      <c r="Y63" s="20" t="n">
        <v>5</v>
      </c>
      <c r="Z63" s="20" t="s">
        <v>194</v>
      </c>
      <c r="AD63" s="20" t="s">
        <v>77</v>
      </c>
      <c r="AG63" s="20" t="n">
        <f aca="false">COUNTIF($AF$3:$AF$219,AF63)</f>
        <v>0</v>
      </c>
      <c r="AI63" s="19"/>
    </row>
    <row r="64" s="18" customFormat="true" ht="24" hidden="false" customHeight="true" outlineLevel="0" collapsed="false">
      <c r="A64" s="18" t="s">
        <v>46</v>
      </c>
      <c r="B64" s="18" t="s">
        <v>46</v>
      </c>
      <c r="C64" s="21" t="s">
        <v>47</v>
      </c>
      <c r="D64" s="18" t="s">
        <v>57</v>
      </c>
      <c r="E64" s="18" t="s">
        <v>44</v>
      </c>
      <c r="F64" s="18" t="s">
        <v>58</v>
      </c>
      <c r="G64" s="21" t="s">
        <v>59</v>
      </c>
      <c r="H64" s="20" t="s">
        <v>48</v>
      </c>
      <c r="S64" s="18" t="s">
        <v>58</v>
      </c>
      <c r="T64" s="18" t="s">
        <v>58</v>
      </c>
      <c r="U64" s="21" t="s">
        <v>195</v>
      </c>
      <c r="V64" s="18" t="s">
        <v>158</v>
      </c>
      <c r="W64" s="21" t="s">
        <v>158</v>
      </c>
      <c r="X64" s="21" t="s">
        <v>75</v>
      </c>
      <c r="Y64" s="18" t="n">
        <v>0</v>
      </c>
      <c r="Z64" s="18" t="s">
        <v>76</v>
      </c>
      <c r="AD64" s="18" t="s">
        <v>77</v>
      </c>
      <c r="AE64" s="18" t="s">
        <v>78</v>
      </c>
      <c r="AG64" s="18" t="n">
        <f aca="false">COUNTIF($AF$3:$AF$219,AF64)</f>
        <v>0</v>
      </c>
      <c r="AI64" s="21"/>
    </row>
    <row r="65" s="18" customFormat="true" ht="24" hidden="false" customHeight="true" outlineLevel="0" collapsed="false">
      <c r="A65" s="18" t="s">
        <v>46</v>
      </c>
      <c r="B65" s="18" t="s">
        <v>46</v>
      </c>
      <c r="C65" s="21" t="s">
        <v>47</v>
      </c>
      <c r="D65" s="18" t="s">
        <v>57</v>
      </c>
      <c r="E65" s="18" t="s">
        <v>44</v>
      </c>
      <c r="F65" s="18" t="s">
        <v>58</v>
      </c>
      <c r="G65" s="21" t="s">
        <v>59</v>
      </c>
      <c r="H65" s="20" t="s">
        <v>48</v>
      </c>
      <c r="S65" s="18" t="s">
        <v>58</v>
      </c>
      <c r="T65" s="18" t="s">
        <v>58</v>
      </c>
      <c r="U65" s="21" t="s">
        <v>195</v>
      </c>
      <c r="V65" s="18" t="s">
        <v>196</v>
      </c>
      <c r="W65" s="21" t="s">
        <v>196</v>
      </c>
      <c r="X65" s="21"/>
      <c r="Y65" s="18" t="n">
        <v>1</v>
      </c>
      <c r="Z65" s="18" t="s">
        <v>81</v>
      </c>
      <c r="AD65" s="18" t="s">
        <v>77</v>
      </c>
      <c r="AG65" s="18" t="n">
        <f aca="false">COUNTIF($AF$3:$AF$219,AF65)</f>
        <v>0</v>
      </c>
      <c r="AI65" s="21"/>
    </row>
    <row r="66" s="20" customFormat="true" ht="24" hidden="false" customHeight="true" outlineLevel="0" collapsed="false">
      <c r="A66" s="20" t="s">
        <v>46</v>
      </c>
      <c r="B66" s="20" t="s">
        <v>46</v>
      </c>
      <c r="C66" s="19" t="s">
        <v>47</v>
      </c>
      <c r="D66" s="18" t="s">
        <v>63</v>
      </c>
      <c r="E66" s="18" t="s">
        <v>44</v>
      </c>
      <c r="F66" s="20" t="s">
        <v>64</v>
      </c>
      <c r="G66" s="19" t="s">
        <v>65</v>
      </c>
      <c r="H66" s="20" t="s">
        <v>48</v>
      </c>
      <c r="S66" s="20" t="s">
        <v>197</v>
      </c>
      <c r="T66" s="20" t="s">
        <v>197</v>
      </c>
      <c r="U66" s="19" t="s">
        <v>198</v>
      </c>
      <c r="V66" s="20" t="s">
        <v>199</v>
      </c>
      <c r="W66" s="20" t="s">
        <v>199</v>
      </c>
      <c r="X66" s="19" t="s">
        <v>75</v>
      </c>
      <c r="Y66" s="20" t="n">
        <v>0</v>
      </c>
      <c r="Z66" s="20" t="s">
        <v>76</v>
      </c>
      <c r="AD66" s="20" t="s">
        <v>77</v>
      </c>
      <c r="AE66" s="20" t="s">
        <v>78</v>
      </c>
      <c r="AG66" s="20" t="n">
        <f aca="false">COUNTIF($AF$3:$AF$219,AF66)</f>
        <v>0</v>
      </c>
      <c r="AI66" s="19"/>
    </row>
    <row r="67" s="20" customFormat="true" ht="24" hidden="false" customHeight="true" outlineLevel="0" collapsed="false">
      <c r="A67" s="20" t="s">
        <v>46</v>
      </c>
      <c r="B67" s="20" t="s">
        <v>46</v>
      </c>
      <c r="C67" s="19" t="s">
        <v>47</v>
      </c>
      <c r="D67" s="18" t="s">
        <v>63</v>
      </c>
      <c r="E67" s="18" t="s">
        <v>44</v>
      </c>
      <c r="F67" s="20" t="s">
        <v>64</v>
      </c>
      <c r="G67" s="19" t="s">
        <v>65</v>
      </c>
      <c r="H67" s="20" t="s">
        <v>48</v>
      </c>
      <c r="S67" s="20" t="s">
        <v>197</v>
      </c>
      <c r="T67" s="20" t="s">
        <v>197</v>
      </c>
      <c r="U67" s="19" t="s">
        <v>198</v>
      </c>
      <c r="V67" s="20" t="s">
        <v>126</v>
      </c>
      <c r="W67" s="20" t="s">
        <v>126</v>
      </c>
      <c r="X67" s="19"/>
      <c r="Y67" s="20" t="n">
        <v>1</v>
      </c>
      <c r="Z67" s="20" t="s">
        <v>76</v>
      </c>
      <c r="AD67" s="20" t="s">
        <v>77</v>
      </c>
      <c r="AF67" s="20" t="s">
        <v>200</v>
      </c>
      <c r="AG67" s="20" t="n">
        <f aca="false">COUNTIF($AF$3:$AF$219,AF67)</f>
        <v>1</v>
      </c>
      <c r="AH67" s="20" t="s">
        <v>201</v>
      </c>
      <c r="AI67" s="19"/>
      <c r="AJ67" s="20" t="s">
        <v>130</v>
      </c>
      <c r="AK67" s="20" t="s">
        <v>46</v>
      </c>
      <c r="AL67" s="23" t="s">
        <v>197</v>
      </c>
      <c r="AM67" s="20" t="s">
        <v>126</v>
      </c>
      <c r="AN67" s="20" t="s">
        <v>163</v>
      </c>
      <c r="AO67" s="20" t="s">
        <v>46</v>
      </c>
      <c r="AP67" s="23" t="s">
        <v>124</v>
      </c>
      <c r="AQ67" s="20" t="s">
        <v>126</v>
      </c>
      <c r="AR67" s="20" t="s">
        <v>131</v>
      </c>
    </row>
    <row r="68" s="20" customFormat="true" ht="24" hidden="false" customHeight="true" outlineLevel="0" collapsed="false">
      <c r="A68" s="20" t="s">
        <v>46</v>
      </c>
      <c r="B68" s="20" t="s">
        <v>46</v>
      </c>
      <c r="C68" s="19" t="s">
        <v>47</v>
      </c>
      <c r="D68" s="18" t="s">
        <v>63</v>
      </c>
      <c r="E68" s="18" t="s">
        <v>44</v>
      </c>
      <c r="F68" s="20" t="s">
        <v>64</v>
      </c>
      <c r="G68" s="19" t="s">
        <v>65</v>
      </c>
      <c r="H68" s="20" t="s">
        <v>48</v>
      </c>
      <c r="S68" s="20" t="s">
        <v>197</v>
      </c>
      <c r="T68" s="20" t="s">
        <v>197</v>
      </c>
      <c r="U68" s="19" t="s">
        <v>198</v>
      </c>
      <c r="V68" s="20" t="s">
        <v>202</v>
      </c>
      <c r="W68" s="20" t="s">
        <v>202</v>
      </c>
      <c r="X68" s="19"/>
      <c r="Y68" s="20" t="n">
        <v>2</v>
      </c>
      <c r="Z68" s="20" t="s">
        <v>76</v>
      </c>
      <c r="AD68" s="20" t="s">
        <v>77</v>
      </c>
      <c r="AF68" s="20" t="s">
        <v>203</v>
      </c>
      <c r="AG68" s="20" t="n">
        <f aca="false">COUNTIF($AF$3:$AF$219,AF68)</f>
        <v>1</v>
      </c>
      <c r="AH68" s="20" t="s">
        <v>64</v>
      </c>
      <c r="AI68" s="19"/>
      <c r="AJ68" s="20" t="s">
        <v>130</v>
      </c>
      <c r="AK68" s="20" t="s">
        <v>46</v>
      </c>
      <c r="AL68" s="23" t="s">
        <v>197</v>
      </c>
      <c r="AM68" s="20" t="s">
        <v>202</v>
      </c>
      <c r="AN68" s="20" t="s">
        <v>163</v>
      </c>
      <c r="AO68" s="20" t="s">
        <v>46</v>
      </c>
      <c r="AP68" s="23" t="s">
        <v>64</v>
      </c>
      <c r="AQ68" s="20" t="s">
        <v>202</v>
      </c>
      <c r="AR68" s="20" t="s">
        <v>131</v>
      </c>
    </row>
    <row r="69" s="18" customFormat="true" ht="24" hidden="false" customHeight="true" outlineLevel="0" collapsed="false">
      <c r="A69" s="18" t="s">
        <v>46</v>
      </c>
      <c r="B69" s="18" t="s">
        <v>46</v>
      </c>
      <c r="C69" s="21" t="s">
        <v>47</v>
      </c>
      <c r="D69" s="18" t="s">
        <v>63</v>
      </c>
      <c r="E69" s="18" t="s">
        <v>44</v>
      </c>
      <c r="F69" s="18" t="s">
        <v>64</v>
      </c>
      <c r="G69" s="21" t="s">
        <v>65</v>
      </c>
      <c r="H69" s="20" t="s">
        <v>48</v>
      </c>
      <c r="S69" s="18" t="s">
        <v>64</v>
      </c>
      <c r="T69" s="18" t="s">
        <v>64</v>
      </c>
      <c r="U69" s="21" t="s">
        <v>204</v>
      </c>
      <c r="V69" s="18" t="s">
        <v>202</v>
      </c>
      <c r="W69" s="18" t="s">
        <v>202</v>
      </c>
      <c r="X69" s="21" t="s">
        <v>75</v>
      </c>
      <c r="Y69" s="18" t="n">
        <v>0</v>
      </c>
      <c r="Z69" s="18" t="s">
        <v>76</v>
      </c>
      <c r="AD69" s="18" t="s">
        <v>77</v>
      </c>
      <c r="AE69" s="18" t="s">
        <v>78</v>
      </c>
      <c r="AG69" s="18" t="n">
        <f aca="false">COUNTIF($AF$3:$AF$219,AF69)</f>
        <v>0</v>
      </c>
      <c r="AI69" s="21"/>
    </row>
    <row r="70" s="20" customFormat="true" ht="24" hidden="false" customHeight="true" outlineLevel="0" collapsed="false">
      <c r="A70" s="20" t="s">
        <v>46</v>
      </c>
      <c r="B70" s="20" t="s">
        <v>46</v>
      </c>
      <c r="C70" s="19" t="s">
        <v>47</v>
      </c>
      <c r="D70" s="18" t="s">
        <v>52</v>
      </c>
      <c r="E70" s="18" t="s">
        <v>44</v>
      </c>
      <c r="F70" s="20" t="s">
        <v>52</v>
      </c>
      <c r="G70" s="19" t="s">
        <v>53</v>
      </c>
      <c r="H70" s="20" t="s">
        <v>48</v>
      </c>
      <c r="S70" s="20" t="s">
        <v>205</v>
      </c>
      <c r="T70" s="20" t="s">
        <v>206</v>
      </c>
      <c r="U70" s="19" t="s">
        <v>207</v>
      </c>
      <c r="V70" s="20" t="s">
        <v>208</v>
      </c>
      <c r="W70" s="19" t="s">
        <v>208</v>
      </c>
      <c r="X70" s="19" t="s">
        <v>75</v>
      </c>
      <c r="Y70" s="20" t="n">
        <v>0</v>
      </c>
      <c r="Z70" s="20" t="s">
        <v>76</v>
      </c>
      <c r="AD70" s="20" t="s">
        <v>77</v>
      </c>
      <c r="AE70" s="20" t="s">
        <v>78</v>
      </c>
      <c r="AG70" s="20" t="n">
        <f aca="false">COUNTIF($AF$3:$AF$219,AF70)</f>
        <v>0</v>
      </c>
      <c r="AI70" s="19"/>
    </row>
    <row r="71" s="20" customFormat="true" ht="24" hidden="false" customHeight="true" outlineLevel="0" collapsed="false">
      <c r="A71" s="20" t="s">
        <v>46</v>
      </c>
      <c r="B71" s="20" t="s">
        <v>46</v>
      </c>
      <c r="C71" s="19" t="s">
        <v>47</v>
      </c>
      <c r="D71" s="18" t="s">
        <v>52</v>
      </c>
      <c r="E71" s="18" t="s">
        <v>44</v>
      </c>
      <c r="F71" s="20" t="s">
        <v>52</v>
      </c>
      <c r="G71" s="19" t="s">
        <v>53</v>
      </c>
      <c r="H71" s="20" t="s">
        <v>48</v>
      </c>
      <c r="S71" s="20" t="s">
        <v>205</v>
      </c>
      <c r="T71" s="20" t="s">
        <v>206</v>
      </c>
      <c r="U71" s="19" t="s">
        <v>207</v>
      </c>
      <c r="V71" s="20" t="s">
        <v>171</v>
      </c>
      <c r="W71" s="19" t="s">
        <v>171</v>
      </c>
      <c r="X71" s="19" t="s">
        <v>209</v>
      </c>
      <c r="Y71" s="20" t="n">
        <v>1</v>
      </c>
      <c r="Z71" s="20" t="s">
        <v>76</v>
      </c>
      <c r="AD71" s="20" t="s">
        <v>77</v>
      </c>
      <c r="AF71" s="20" t="s">
        <v>210</v>
      </c>
      <c r="AG71" s="20" t="n">
        <f aca="false">COUNTIF($AF$3:$AF$219,AF71)</f>
        <v>1</v>
      </c>
      <c r="AH71" s="20" t="s">
        <v>52</v>
      </c>
      <c r="AI71" s="19" t="s">
        <v>211</v>
      </c>
      <c r="AJ71" s="20" t="s">
        <v>130</v>
      </c>
      <c r="AK71" s="20" t="s">
        <v>46</v>
      </c>
      <c r="AL71" s="23" t="s">
        <v>205</v>
      </c>
      <c r="AM71" s="20" t="s">
        <v>171</v>
      </c>
      <c r="AN71" s="20" t="s">
        <v>163</v>
      </c>
      <c r="AO71" s="20" t="s">
        <v>46</v>
      </c>
      <c r="AP71" s="23" t="s">
        <v>173</v>
      </c>
      <c r="AQ71" s="20" t="s">
        <v>171</v>
      </c>
      <c r="AR71" s="20" t="s">
        <v>131</v>
      </c>
    </row>
    <row r="72" s="20" customFormat="true" ht="24" hidden="false" customHeight="true" outlineLevel="0" collapsed="false">
      <c r="A72" s="20" t="s">
        <v>46</v>
      </c>
      <c r="B72" s="20" t="s">
        <v>46</v>
      </c>
      <c r="C72" s="19" t="s">
        <v>47</v>
      </c>
      <c r="D72" s="18" t="s">
        <v>52</v>
      </c>
      <c r="E72" s="18" t="s">
        <v>44</v>
      </c>
      <c r="F72" s="20" t="s">
        <v>52</v>
      </c>
      <c r="G72" s="19" t="s">
        <v>53</v>
      </c>
      <c r="H72" s="20" t="s">
        <v>48</v>
      </c>
      <c r="S72" s="20" t="s">
        <v>205</v>
      </c>
      <c r="T72" s="20" t="s">
        <v>206</v>
      </c>
      <c r="U72" s="19" t="s">
        <v>207</v>
      </c>
      <c r="V72" s="20" t="s">
        <v>126</v>
      </c>
      <c r="W72" s="19" t="s">
        <v>126</v>
      </c>
      <c r="X72" s="19" t="s">
        <v>212</v>
      </c>
      <c r="Y72" s="20" t="n">
        <v>2</v>
      </c>
      <c r="Z72" s="20" t="s">
        <v>76</v>
      </c>
      <c r="AD72" s="20" t="s">
        <v>77</v>
      </c>
      <c r="AF72" s="20" t="s">
        <v>213</v>
      </c>
      <c r="AG72" s="20" t="n">
        <f aca="false">COUNTIF($AF$3:$AF$219,AF72)</f>
        <v>1</v>
      </c>
      <c r="AH72" s="20" t="s">
        <v>124</v>
      </c>
      <c r="AI72" s="19" t="s">
        <v>157</v>
      </c>
      <c r="AJ72" s="20" t="s">
        <v>130</v>
      </c>
      <c r="AK72" s="20" t="s">
        <v>46</v>
      </c>
      <c r="AL72" s="23" t="s">
        <v>205</v>
      </c>
      <c r="AM72" s="20" t="s">
        <v>126</v>
      </c>
      <c r="AN72" s="20" t="s">
        <v>131</v>
      </c>
      <c r="AO72" s="20" t="s">
        <v>46</v>
      </c>
      <c r="AP72" s="23" t="s">
        <v>124</v>
      </c>
      <c r="AQ72" s="20" t="s">
        <v>126</v>
      </c>
      <c r="AR72" s="20" t="s">
        <v>131</v>
      </c>
    </row>
    <row r="73" s="20" customFormat="true" ht="24" hidden="false" customHeight="true" outlineLevel="0" collapsed="false">
      <c r="A73" s="20" t="s">
        <v>46</v>
      </c>
      <c r="B73" s="20" t="s">
        <v>46</v>
      </c>
      <c r="C73" s="19" t="s">
        <v>47</v>
      </c>
      <c r="D73" s="18" t="s">
        <v>52</v>
      </c>
      <c r="E73" s="18" t="s">
        <v>44</v>
      </c>
      <c r="F73" s="20" t="s">
        <v>52</v>
      </c>
      <c r="G73" s="19" t="s">
        <v>53</v>
      </c>
      <c r="H73" s="20" t="s">
        <v>48</v>
      </c>
      <c r="S73" s="20" t="s">
        <v>205</v>
      </c>
      <c r="T73" s="20" t="s">
        <v>206</v>
      </c>
      <c r="U73" s="19" t="s">
        <v>207</v>
      </c>
      <c r="V73" s="20" t="s">
        <v>214</v>
      </c>
      <c r="W73" s="19" t="s">
        <v>214</v>
      </c>
      <c r="X73" s="19" t="s">
        <v>215</v>
      </c>
      <c r="Y73" s="20" t="n">
        <v>3</v>
      </c>
      <c r="Z73" s="20" t="s">
        <v>81</v>
      </c>
      <c r="AD73" s="20" t="s">
        <v>77</v>
      </c>
      <c r="AI73" s="19"/>
      <c r="AL73" s="23"/>
      <c r="AP73" s="23"/>
    </row>
    <row r="74" s="20" customFormat="true" ht="24" hidden="false" customHeight="true" outlineLevel="0" collapsed="false">
      <c r="A74" s="20" t="s">
        <v>46</v>
      </c>
      <c r="B74" s="20" t="s">
        <v>46</v>
      </c>
      <c r="C74" s="19" t="s">
        <v>47</v>
      </c>
      <c r="D74" s="18" t="s">
        <v>52</v>
      </c>
      <c r="E74" s="18" t="s">
        <v>44</v>
      </c>
      <c r="F74" s="20" t="s">
        <v>52</v>
      </c>
      <c r="G74" s="19" t="s">
        <v>53</v>
      </c>
      <c r="H74" s="20" t="s">
        <v>48</v>
      </c>
      <c r="S74" s="20" t="s">
        <v>205</v>
      </c>
      <c r="T74" s="20" t="s">
        <v>206</v>
      </c>
      <c r="U74" s="19" t="s">
        <v>207</v>
      </c>
      <c r="V74" s="20" t="s">
        <v>216</v>
      </c>
      <c r="W74" s="19" t="s">
        <v>216</v>
      </c>
      <c r="X74" s="19" t="s">
        <v>217</v>
      </c>
      <c r="Y74" s="20" t="n">
        <v>4</v>
      </c>
      <c r="Z74" s="20" t="s">
        <v>76</v>
      </c>
      <c r="AD74" s="20" t="s">
        <v>78</v>
      </c>
      <c r="AF74" s="20" t="s">
        <v>218</v>
      </c>
      <c r="AG74" s="20" t="n">
        <f aca="false">COUNTIF($AF$3:$AF$219,AF74)</f>
        <v>1</v>
      </c>
      <c r="AH74" s="20" t="s">
        <v>219</v>
      </c>
      <c r="AI74" s="19" t="s">
        <v>220</v>
      </c>
      <c r="AJ74" s="20" t="s">
        <v>130</v>
      </c>
      <c r="AK74" s="20" t="s">
        <v>46</v>
      </c>
      <c r="AL74" s="23" t="s">
        <v>205</v>
      </c>
      <c r="AM74" s="20" t="s">
        <v>216</v>
      </c>
      <c r="AN74" s="20" t="s">
        <v>163</v>
      </c>
      <c r="AO74" s="20" t="s">
        <v>46</v>
      </c>
      <c r="AP74" s="23" t="s">
        <v>221</v>
      </c>
      <c r="AQ74" s="20" t="s">
        <v>216</v>
      </c>
      <c r="AR74" s="20" t="s">
        <v>131</v>
      </c>
    </row>
    <row r="75" s="18" customFormat="true" ht="24" hidden="false" customHeight="true" outlineLevel="0" collapsed="false">
      <c r="A75" s="18" t="s">
        <v>46</v>
      </c>
      <c r="B75" s="18" t="s">
        <v>46</v>
      </c>
      <c r="C75" s="21" t="s">
        <v>47</v>
      </c>
      <c r="D75" s="18" t="s">
        <v>63</v>
      </c>
      <c r="E75" s="18" t="s">
        <v>44</v>
      </c>
      <c r="F75" s="18" t="s">
        <v>64</v>
      </c>
      <c r="G75" s="21" t="s">
        <v>65</v>
      </c>
      <c r="H75" s="20" t="s">
        <v>48</v>
      </c>
      <c r="S75" s="18" t="s">
        <v>221</v>
      </c>
      <c r="T75" s="18" t="s">
        <v>221</v>
      </c>
      <c r="U75" s="21" t="s">
        <v>222</v>
      </c>
      <c r="V75" s="18" t="s">
        <v>216</v>
      </c>
      <c r="W75" s="21" t="s">
        <v>216</v>
      </c>
      <c r="X75" s="21" t="s">
        <v>75</v>
      </c>
      <c r="Y75" s="18" t="n">
        <v>0</v>
      </c>
      <c r="Z75" s="18" t="s">
        <v>76</v>
      </c>
      <c r="AD75" s="18" t="s">
        <v>77</v>
      </c>
      <c r="AE75" s="18" t="s">
        <v>78</v>
      </c>
      <c r="AG75" s="18" t="n">
        <f aca="false">COUNTIF($AF$3:$AF$219,AF75)</f>
        <v>0</v>
      </c>
      <c r="AI75" s="21"/>
    </row>
    <row r="76" s="18" customFormat="true" ht="24" hidden="false" customHeight="true" outlineLevel="0" collapsed="false">
      <c r="A76" s="18" t="s">
        <v>46</v>
      </c>
      <c r="B76" s="18" t="s">
        <v>46</v>
      </c>
      <c r="C76" s="21" t="s">
        <v>47</v>
      </c>
      <c r="D76" s="18" t="s">
        <v>63</v>
      </c>
      <c r="E76" s="18" t="s">
        <v>44</v>
      </c>
      <c r="F76" s="18" t="s">
        <v>64</v>
      </c>
      <c r="G76" s="21" t="s">
        <v>65</v>
      </c>
      <c r="H76" s="20" t="s">
        <v>48</v>
      </c>
      <c r="S76" s="18" t="s">
        <v>221</v>
      </c>
      <c r="T76" s="18" t="s">
        <v>221</v>
      </c>
      <c r="U76" s="21" t="s">
        <v>222</v>
      </c>
      <c r="V76" s="18" t="s">
        <v>223</v>
      </c>
      <c r="W76" s="21" t="s">
        <v>223</v>
      </c>
      <c r="X76" s="21" t="s">
        <v>224</v>
      </c>
      <c r="Y76" s="18" t="n">
        <v>1</v>
      </c>
      <c r="Z76" s="18" t="s">
        <v>76</v>
      </c>
      <c r="AD76" s="18" t="s">
        <v>78</v>
      </c>
      <c r="AF76" s="18" t="s">
        <v>225</v>
      </c>
      <c r="AG76" s="18" t="n">
        <f aca="false">COUNTIF($AF$3:$AF$219,AF76)</f>
        <v>1</v>
      </c>
      <c r="AH76" s="18" t="s">
        <v>226</v>
      </c>
      <c r="AI76" s="21"/>
      <c r="AJ76" s="18" t="s">
        <v>130</v>
      </c>
      <c r="AK76" s="18" t="s">
        <v>46</v>
      </c>
      <c r="AL76" s="22" t="s">
        <v>221</v>
      </c>
      <c r="AM76" s="18" t="s">
        <v>223</v>
      </c>
      <c r="AN76" s="18" t="s">
        <v>131</v>
      </c>
      <c r="AO76" s="18" t="s">
        <v>46</v>
      </c>
      <c r="AP76" s="22" t="s">
        <v>124</v>
      </c>
      <c r="AQ76" s="18" t="s">
        <v>126</v>
      </c>
      <c r="AR76" s="18" t="s">
        <v>131</v>
      </c>
    </row>
    <row r="77" s="18" customFormat="true" ht="24" hidden="false" customHeight="true" outlineLevel="0" collapsed="false">
      <c r="A77" s="18" t="s">
        <v>46</v>
      </c>
      <c r="B77" s="18" t="s">
        <v>46</v>
      </c>
      <c r="C77" s="21" t="s">
        <v>47</v>
      </c>
      <c r="D77" s="18" t="s">
        <v>63</v>
      </c>
      <c r="E77" s="18" t="s">
        <v>44</v>
      </c>
      <c r="F77" s="18" t="s">
        <v>64</v>
      </c>
      <c r="G77" s="21" t="s">
        <v>65</v>
      </c>
      <c r="H77" s="20" t="s">
        <v>48</v>
      </c>
      <c r="S77" s="18" t="s">
        <v>221</v>
      </c>
      <c r="T77" s="18" t="s">
        <v>221</v>
      </c>
      <c r="U77" s="21" t="s">
        <v>222</v>
      </c>
      <c r="V77" s="18" t="s">
        <v>227</v>
      </c>
      <c r="W77" s="21" t="s">
        <v>227</v>
      </c>
      <c r="X77" s="21" t="s">
        <v>228</v>
      </c>
      <c r="Y77" s="18" t="n">
        <v>2</v>
      </c>
      <c r="Z77" s="18" t="s">
        <v>76</v>
      </c>
      <c r="AD77" s="18" t="s">
        <v>78</v>
      </c>
      <c r="AF77" s="18" t="s">
        <v>229</v>
      </c>
      <c r="AG77" s="18" t="n">
        <f aca="false">COUNTIF($AF$3:$AF$219,AF77)</f>
        <v>1</v>
      </c>
      <c r="AH77" s="18" t="s">
        <v>230</v>
      </c>
      <c r="AI77" s="21"/>
      <c r="AJ77" s="18" t="s">
        <v>130</v>
      </c>
      <c r="AK77" s="18" t="s">
        <v>46</v>
      </c>
      <c r="AL77" s="22" t="s">
        <v>221</v>
      </c>
      <c r="AM77" s="18" t="s">
        <v>227</v>
      </c>
      <c r="AN77" s="18" t="s">
        <v>131</v>
      </c>
      <c r="AO77" s="18" t="s">
        <v>46</v>
      </c>
      <c r="AP77" s="22" t="s">
        <v>124</v>
      </c>
      <c r="AQ77" s="18" t="s">
        <v>126</v>
      </c>
      <c r="AR77" s="18" t="s">
        <v>131</v>
      </c>
    </row>
    <row r="78" s="18" customFormat="true" ht="24" hidden="false" customHeight="true" outlineLevel="0" collapsed="false">
      <c r="A78" s="18" t="s">
        <v>46</v>
      </c>
      <c r="B78" s="18" t="s">
        <v>46</v>
      </c>
      <c r="C78" s="21" t="s">
        <v>47</v>
      </c>
      <c r="D78" s="18" t="s">
        <v>63</v>
      </c>
      <c r="E78" s="18" t="s">
        <v>44</v>
      </c>
      <c r="F78" s="18" t="s">
        <v>64</v>
      </c>
      <c r="G78" s="21" t="s">
        <v>65</v>
      </c>
      <c r="H78" s="20" t="s">
        <v>48</v>
      </c>
      <c r="S78" s="18" t="s">
        <v>221</v>
      </c>
      <c r="T78" s="18" t="s">
        <v>221</v>
      </c>
      <c r="U78" s="21" t="s">
        <v>222</v>
      </c>
      <c r="V78" s="18" t="s">
        <v>231</v>
      </c>
      <c r="W78" s="21" t="s">
        <v>231</v>
      </c>
      <c r="X78" s="21" t="s">
        <v>232</v>
      </c>
      <c r="Y78" s="18" t="n">
        <v>3</v>
      </c>
      <c r="Z78" s="18" t="s">
        <v>81</v>
      </c>
      <c r="AC78" s="18" t="s">
        <v>233</v>
      </c>
      <c r="AD78" s="18" t="s">
        <v>78</v>
      </c>
      <c r="AG78" s="18" t="n">
        <f aca="false">COUNTIF($AF$3:$AF$219,AF78)</f>
        <v>0</v>
      </c>
      <c r="AI78" s="21"/>
    </row>
    <row r="79" s="18" customFormat="true" ht="24" hidden="false" customHeight="true" outlineLevel="0" collapsed="false">
      <c r="A79" s="18" t="s">
        <v>46</v>
      </c>
      <c r="B79" s="18" t="s">
        <v>46</v>
      </c>
      <c r="C79" s="21" t="s">
        <v>47</v>
      </c>
      <c r="D79" s="18" t="s">
        <v>63</v>
      </c>
      <c r="E79" s="18" t="s">
        <v>44</v>
      </c>
      <c r="F79" s="18" t="s">
        <v>64</v>
      </c>
      <c r="G79" s="21" t="s">
        <v>65</v>
      </c>
      <c r="H79" s="20" t="s">
        <v>48</v>
      </c>
      <c r="S79" s="18" t="s">
        <v>221</v>
      </c>
      <c r="T79" s="18" t="s">
        <v>221</v>
      </c>
      <c r="U79" s="21" t="s">
        <v>222</v>
      </c>
      <c r="V79" s="21" t="s">
        <v>234</v>
      </c>
      <c r="W79" s="21" t="s">
        <v>234</v>
      </c>
      <c r="X79" s="21" t="s">
        <v>235</v>
      </c>
      <c r="Y79" s="18" t="n">
        <v>4</v>
      </c>
      <c r="Z79" s="18" t="s">
        <v>81</v>
      </c>
      <c r="AC79" s="18" t="s">
        <v>233</v>
      </c>
      <c r="AD79" s="18" t="s">
        <v>78</v>
      </c>
      <c r="AG79" s="18" t="n">
        <f aca="false">COUNTIF($AF$3:$AF$219,AF79)</f>
        <v>0</v>
      </c>
      <c r="AI79" s="21"/>
    </row>
    <row r="80" s="18" customFormat="true" ht="24" hidden="false" customHeight="true" outlineLevel="0" collapsed="false">
      <c r="A80" s="18" t="s">
        <v>46</v>
      </c>
      <c r="B80" s="18" t="s">
        <v>46</v>
      </c>
      <c r="C80" s="21" t="s">
        <v>47</v>
      </c>
      <c r="D80" s="18" t="s">
        <v>63</v>
      </c>
      <c r="E80" s="18" t="s">
        <v>44</v>
      </c>
      <c r="F80" s="18" t="s">
        <v>64</v>
      </c>
      <c r="G80" s="21" t="s">
        <v>65</v>
      </c>
      <c r="H80" s="20" t="s">
        <v>48</v>
      </c>
      <c r="S80" s="18" t="s">
        <v>221</v>
      </c>
      <c r="T80" s="18" t="s">
        <v>221</v>
      </c>
      <c r="U80" s="21" t="s">
        <v>222</v>
      </c>
      <c r="V80" s="21" t="s">
        <v>236</v>
      </c>
      <c r="W80" s="21" t="s">
        <v>236</v>
      </c>
      <c r="X80" s="21" t="s">
        <v>235</v>
      </c>
      <c r="Y80" s="18" t="n">
        <v>5</v>
      </c>
      <c r="Z80" s="18" t="s">
        <v>81</v>
      </c>
      <c r="AC80" s="18" t="s">
        <v>233</v>
      </c>
      <c r="AD80" s="18" t="s">
        <v>78</v>
      </c>
      <c r="AG80" s="18" t="n">
        <f aca="false">COUNTIF($AF$3:$AF$219,AF80)</f>
        <v>0</v>
      </c>
      <c r="AI80" s="21"/>
    </row>
    <row r="81" s="18" customFormat="true" ht="24" hidden="false" customHeight="true" outlineLevel="0" collapsed="false">
      <c r="A81" s="18" t="s">
        <v>46</v>
      </c>
      <c r="B81" s="18" t="s">
        <v>46</v>
      </c>
      <c r="C81" s="21" t="s">
        <v>47</v>
      </c>
      <c r="D81" s="18" t="s">
        <v>63</v>
      </c>
      <c r="E81" s="18" t="s">
        <v>44</v>
      </c>
      <c r="F81" s="18" t="s">
        <v>64</v>
      </c>
      <c r="G81" s="21" t="s">
        <v>65</v>
      </c>
      <c r="H81" s="20" t="s">
        <v>48</v>
      </c>
      <c r="S81" s="18" t="s">
        <v>221</v>
      </c>
      <c r="T81" s="18" t="s">
        <v>221</v>
      </c>
      <c r="U81" s="21" t="s">
        <v>222</v>
      </c>
      <c r="V81" s="21" t="s">
        <v>237</v>
      </c>
      <c r="W81" s="21" t="s">
        <v>237</v>
      </c>
      <c r="X81" s="21" t="s">
        <v>237</v>
      </c>
      <c r="Y81" s="18" t="n">
        <v>6</v>
      </c>
      <c r="Z81" s="18" t="s">
        <v>81</v>
      </c>
      <c r="AC81" s="18" t="s">
        <v>233</v>
      </c>
      <c r="AD81" s="18" t="s">
        <v>78</v>
      </c>
      <c r="AG81" s="18" t="n">
        <f aca="false">COUNTIF($AF$3:$AF$219,AF81)</f>
        <v>0</v>
      </c>
      <c r="AI81" s="21"/>
    </row>
    <row r="82" s="18" customFormat="true" ht="24" hidden="false" customHeight="true" outlineLevel="0" collapsed="false">
      <c r="A82" s="18" t="s">
        <v>46</v>
      </c>
      <c r="B82" s="18" t="s">
        <v>46</v>
      </c>
      <c r="C82" s="21" t="s">
        <v>47</v>
      </c>
      <c r="D82" s="18" t="s">
        <v>63</v>
      </c>
      <c r="E82" s="18" t="s">
        <v>44</v>
      </c>
      <c r="F82" s="18" t="s">
        <v>64</v>
      </c>
      <c r="G82" s="21" t="s">
        <v>65</v>
      </c>
      <c r="H82" s="20" t="s">
        <v>48</v>
      </c>
      <c r="S82" s="18" t="s">
        <v>221</v>
      </c>
      <c r="T82" s="18" t="s">
        <v>221</v>
      </c>
      <c r="U82" s="21" t="s">
        <v>222</v>
      </c>
      <c r="V82" s="18" t="s">
        <v>238</v>
      </c>
      <c r="W82" s="21" t="s">
        <v>238</v>
      </c>
      <c r="X82" s="21" t="s">
        <v>239</v>
      </c>
      <c r="Y82" s="18" t="n">
        <v>7</v>
      </c>
      <c r="Z82" s="18" t="s">
        <v>81</v>
      </c>
      <c r="AD82" s="18" t="s">
        <v>78</v>
      </c>
      <c r="AG82" s="18" t="n">
        <f aca="false">COUNTIF($AF$3:$AF$219,AF82)</f>
        <v>0</v>
      </c>
      <c r="AI82" s="21"/>
    </row>
    <row r="83" s="18" customFormat="true" ht="24" hidden="false" customHeight="true" outlineLevel="0" collapsed="false">
      <c r="A83" s="18" t="s">
        <v>46</v>
      </c>
      <c r="B83" s="18" t="s">
        <v>46</v>
      </c>
      <c r="C83" s="21" t="s">
        <v>47</v>
      </c>
      <c r="D83" s="18" t="s">
        <v>63</v>
      </c>
      <c r="E83" s="18" t="s">
        <v>44</v>
      </c>
      <c r="F83" s="18" t="s">
        <v>64</v>
      </c>
      <c r="G83" s="21" t="s">
        <v>65</v>
      </c>
      <c r="H83" s="20" t="s">
        <v>48</v>
      </c>
      <c r="S83" s="18" t="s">
        <v>221</v>
      </c>
      <c r="T83" s="18" t="s">
        <v>221</v>
      </c>
      <c r="U83" s="21" t="s">
        <v>222</v>
      </c>
      <c r="V83" s="18" t="s">
        <v>240</v>
      </c>
      <c r="W83" s="21" t="s">
        <v>240</v>
      </c>
      <c r="X83" s="21" t="s">
        <v>241</v>
      </c>
      <c r="Y83" s="18" t="n">
        <v>8</v>
      </c>
      <c r="Z83" s="18" t="s">
        <v>81</v>
      </c>
      <c r="AD83" s="18" t="s">
        <v>78</v>
      </c>
      <c r="AG83" s="18" t="n">
        <f aca="false">COUNTIF($AF$3:$AF$219,AF83)</f>
        <v>0</v>
      </c>
      <c r="AI83" s="21"/>
    </row>
    <row r="84" s="18" customFormat="true" ht="24" hidden="false" customHeight="true" outlineLevel="0" collapsed="false">
      <c r="A84" s="18" t="s">
        <v>46</v>
      </c>
      <c r="B84" s="18" t="s">
        <v>46</v>
      </c>
      <c r="C84" s="21" t="s">
        <v>47</v>
      </c>
      <c r="D84" s="18" t="s">
        <v>63</v>
      </c>
      <c r="E84" s="18" t="s">
        <v>44</v>
      </c>
      <c r="F84" s="18" t="s">
        <v>64</v>
      </c>
      <c r="G84" s="21" t="s">
        <v>65</v>
      </c>
      <c r="H84" s="20" t="s">
        <v>48</v>
      </c>
      <c r="S84" s="18" t="s">
        <v>221</v>
      </c>
      <c r="T84" s="18" t="s">
        <v>221</v>
      </c>
      <c r="U84" s="21" t="s">
        <v>222</v>
      </c>
      <c r="V84" s="18" t="s">
        <v>242</v>
      </c>
      <c r="W84" s="21" t="s">
        <v>242</v>
      </c>
      <c r="X84" s="21" t="s">
        <v>243</v>
      </c>
      <c r="Y84" s="18" t="n">
        <v>9</v>
      </c>
      <c r="Z84" s="18" t="s">
        <v>81</v>
      </c>
      <c r="AD84" s="18" t="s">
        <v>78</v>
      </c>
      <c r="AG84" s="18" t="n">
        <f aca="false">COUNTIF($AF$3:$AF$219,AF84)</f>
        <v>0</v>
      </c>
      <c r="AI84" s="21"/>
    </row>
    <row r="85" s="18" customFormat="true" ht="24" hidden="false" customHeight="true" outlineLevel="0" collapsed="false">
      <c r="A85" s="18" t="s">
        <v>46</v>
      </c>
      <c r="B85" s="18" t="s">
        <v>46</v>
      </c>
      <c r="C85" s="21" t="s">
        <v>47</v>
      </c>
      <c r="D85" s="18" t="s">
        <v>63</v>
      </c>
      <c r="E85" s="18" t="s">
        <v>44</v>
      </c>
      <c r="F85" s="18" t="s">
        <v>64</v>
      </c>
      <c r="G85" s="21" t="s">
        <v>65</v>
      </c>
      <c r="H85" s="20" t="s">
        <v>48</v>
      </c>
      <c r="S85" s="18" t="s">
        <v>221</v>
      </c>
      <c r="T85" s="18" t="s">
        <v>221</v>
      </c>
      <c r="U85" s="21" t="s">
        <v>222</v>
      </c>
      <c r="V85" s="18" t="s">
        <v>244</v>
      </c>
      <c r="W85" s="21" t="s">
        <v>244</v>
      </c>
      <c r="X85" s="21" t="s">
        <v>245</v>
      </c>
      <c r="Y85" s="18" t="n">
        <v>10</v>
      </c>
      <c r="Z85" s="18" t="s">
        <v>81</v>
      </c>
      <c r="AD85" s="18" t="s">
        <v>78</v>
      </c>
      <c r="AG85" s="18" t="n">
        <f aca="false">COUNTIF($AF$3:$AF$219,AF85)</f>
        <v>0</v>
      </c>
      <c r="AI85" s="21"/>
    </row>
    <row r="86" s="18" customFormat="true" ht="24" hidden="false" customHeight="true" outlineLevel="0" collapsed="false">
      <c r="A86" s="18" t="s">
        <v>46</v>
      </c>
      <c r="B86" s="18" t="s">
        <v>46</v>
      </c>
      <c r="C86" s="21" t="s">
        <v>47</v>
      </c>
      <c r="D86" s="18" t="s">
        <v>63</v>
      </c>
      <c r="E86" s="18" t="s">
        <v>44</v>
      </c>
      <c r="F86" s="18" t="s">
        <v>64</v>
      </c>
      <c r="G86" s="21" t="s">
        <v>65</v>
      </c>
      <c r="H86" s="20" t="s">
        <v>48</v>
      </c>
      <c r="S86" s="18" t="s">
        <v>221</v>
      </c>
      <c r="T86" s="18" t="s">
        <v>221</v>
      </c>
      <c r="U86" s="21" t="s">
        <v>222</v>
      </c>
      <c r="V86" s="18" t="s">
        <v>246</v>
      </c>
      <c r="W86" s="21" t="s">
        <v>246</v>
      </c>
      <c r="X86" s="21" t="s">
        <v>247</v>
      </c>
      <c r="Y86" s="18" t="n">
        <v>11</v>
      </c>
      <c r="Z86" s="18" t="s">
        <v>81</v>
      </c>
      <c r="AD86" s="18" t="s">
        <v>78</v>
      </c>
      <c r="AG86" s="18" t="n">
        <f aca="false">COUNTIF($AF$3:$AF$219,AF86)</f>
        <v>0</v>
      </c>
      <c r="AI86" s="21"/>
    </row>
    <row r="87" s="20" customFormat="true" ht="24" hidden="false" customHeight="true" outlineLevel="0" collapsed="false">
      <c r="A87" s="20" t="s">
        <v>46</v>
      </c>
      <c r="B87" s="20" t="s">
        <v>46</v>
      </c>
      <c r="C87" s="19" t="s">
        <v>47</v>
      </c>
      <c r="D87" s="18" t="s">
        <v>63</v>
      </c>
      <c r="E87" s="18" t="s">
        <v>44</v>
      </c>
      <c r="F87" s="20" t="s">
        <v>64</v>
      </c>
      <c r="G87" s="19" t="s">
        <v>65</v>
      </c>
      <c r="H87" s="20" t="s">
        <v>48</v>
      </c>
      <c r="S87" s="20" t="s">
        <v>248</v>
      </c>
      <c r="T87" s="20" t="s">
        <v>248</v>
      </c>
      <c r="U87" s="19" t="s">
        <v>249</v>
      </c>
      <c r="V87" s="20" t="s">
        <v>250</v>
      </c>
      <c r="W87" s="20" t="s">
        <v>250</v>
      </c>
      <c r="X87" s="19" t="s">
        <v>75</v>
      </c>
      <c r="Y87" s="20" t="n">
        <v>0</v>
      </c>
      <c r="Z87" s="20" t="s">
        <v>76</v>
      </c>
      <c r="AD87" s="20" t="s">
        <v>77</v>
      </c>
      <c r="AE87" s="20" t="s">
        <v>78</v>
      </c>
      <c r="AG87" s="20" t="n">
        <f aca="false">COUNTIF($AF$3:$AF$219,AF87)</f>
        <v>0</v>
      </c>
    </row>
    <row r="88" s="18" customFormat="true" ht="24" hidden="false" customHeight="true" outlineLevel="0" collapsed="false">
      <c r="A88" s="18" t="s">
        <v>46</v>
      </c>
      <c r="B88" s="18" t="s">
        <v>46</v>
      </c>
      <c r="C88" s="21" t="s">
        <v>47</v>
      </c>
      <c r="D88" s="18" t="s">
        <v>60</v>
      </c>
      <c r="E88" s="18" t="s">
        <v>44</v>
      </c>
      <c r="F88" s="18" t="s">
        <v>61</v>
      </c>
      <c r="G88" s="21" t="s">
        <v>62</v>
      </c>
      <c r="H88" s="20" t="s">
        <v>48</v>
      </c>
      <c r="S88" s="18" t="s">
        <v>251</v>
      </c>
      <c r="T88" s="18" t="s">
        <v>251</v>
      </c>
      <c r="U88" s="21" t="s">
        <v>252</v>
      </c>
      <c r="V88" s="18" t="s">
        <v>253</v>
      </c>
      <c r="W88" s="18" t="s">
        <v>253</v>
      </c>
      <c r="X88" s="21" t="s">
        <v>75</v>
      </c>
      <c r="Y88" s="18" t="n">
        <v>0</v>
      </c>
      <c r="Z88" s="18" t="s">
        <v>76</v>
      </c>
      <c r="AD88" s="18" t="s">
        <v>77</v>
      </c>
      <c r="AE88" s="18" t="s">
        <v>78</v>
      </c>
      <c r="AG88" s="18" t="n">
        <f aca="false">COUNTIF($AF$3:$AF$219,AF88)</f>
        <v>0</v>
      </c>
    </row>
    <row r="89" s="18" customFormat="true" ht="24" hidden="false" customHeight="true" outlineLevel="0" collapsed="false">
      <c r="A89" s="18" t="s">
        <v>46</v>
      </c>
      <c r="B89" s="18" t="s">
        <v>46</v>
      </c>
      <c r="C89" s="21" t="s">
        <v>47</v>
      </c>
      <c r="D89" s="18" t="s">
        <v>60</v>
      </c>
      <c r="E89" s="18" t="s">
        <v>44</v>
      </c>
      <c r="F89" s="18" t="s">
        <v>61</v>
      </c>
      <c r="G89" s="21" t="s">
        <v>62</v>
      </c>
      <c r="H89" s="20" t="s">
        <v>48</v>
      </c>
      <c r="S89" s="18" t="s">
        <v>251</v>
      </c>
      <c r="T89" s="18" t="s">
        <v>251</v>
      </c>
      <c r="U89" s="21" t="s">
        <v>252</v>
      </c>
      <c r="V89" s="18" t="s">
        <v>254</v>
      </c>
      <c r="W89" s="18" t="s">
        <v>254</v>
      </c>
      <c r="X89" s="21" t="s">
        <v>255</v>
      </c>
      <c r="Y89" s="18" t="n">
        <v>1</v>
      </c>
      <c r="Z89" s="18" t="s">
        <v>76</v>
      </c>
      <c r="AD89" s="18" t="s">
        <v>77</v>
      </c>
      <c r="AF89" s="18" t="s">
        <v>256</v>
      </c>
      <c r="AG89" s="18" t="n">
        <f aca="false">COUNTIF($AF$3:$AF$219,AF89)</f>
        <v>1</v>
      </c>
      <c r="AH89" s="18" t="s">
        <v>257</v>
      </c>
      <c r="AI89" s="21"/>
      <c r="AJ89" s="18" t="s">
        <v>130</v>
      </c>
      <c r="AK89" s="18" t="s">
        <v>46</v>
      </c>
      <c r="AL89" s="22" t="s">
        <v>251</v>
      </c>
      <c r="AM89" s="18" t="s">
        <v>254</v>
      </c>
      <c r="AN89" s="18" t="s">
        <v>163</v>
      </c>
      <c r="AO89" s="18" t="s">
        <v>46</v>
      </c>
      <c r="AP89" s="22" t="s">
        <v>258</v>
      </c>
      <c r="AQ89" s="18" t="s">
        <v>254</v>
      </c>
      <c r="AR89" s="18" t="s">
        <v>131</v>
      </c>
    </row>
    <row r="90" s="18" customFormat="true" ht="24" hidden="false" customHeight="true" outlineLevel="0" collapsed="false">
      <c r="A90" s="18" t="s">
        <v>46</v>
      </c>
      <c r="B90" s="18" t="s">
        <v>46</v>
      </c>
      <c r="C90" s="21" t="s">
        <v>47</v>
      </c>
      <c r="D90" s="18" t="s">
        <v>60</v>
      </c>
      <c r="E90" s="18" t="s">
        <v>44</v>
      </c>
      <c r="F90" s="18" t="s">
        <v>61</v>
      </c>
      <c r="G90" s="21" t="s">
        <v>62</v>
      </c>
      <c r="H90" s="20" t="s">
        <v>48</v>
      </c>
      <c r="S90" s="18" t="s">
        <v>251</v>
      </c>
      <c r="T90" s="18" t="s">
        <v>251</v>
      </c>
      <c r="U90" s="21" t="s">
        <v>252</v>
      </c>
      <c r="V90" s="18" t="s">
        <v>250</v>
      </c>
      <c r="W90" s="18" t="s">
        <v>250</v>
      </c>
      <c r="X90" s="21" t="s">
        <v>259</v>
      </c>
      <c r="Y90" s="18" t="n">
        <v>2</v>
      </c>
      <c r="Z90" s="18" t="s">
        <v>76</v>
      </c>
      <c r="AD90" s="18" t="s">
        <v>77</v>
      </c>
      <c r="AF90" s="18" t="s">
        <v>260</v>
      </c>
      <c r="AG90" s="18" t="n">
        <f aca="false">COUNTIF($AF$3:$AF$219,AF90)</f>
        <v>1</v>
      </c>
      <c r="AH90" s="18" t="s">
        <v>248</v>
      </c>
      <c r="AI90" s="21"/>
      <c r="AJ90" s="18" t="s">
        <v>130</v>
      </c>
      <c r="AK90" s="18" t="s">
        <v>46</v>
      </c>
      <c r="AL90" s="22" t="s">
        <v>251</v>
      </c>
      <c r="AM90" s="18" t="s">
        <v>250</v>
      </c>
      <c r="AN90" s="18" t="s">
        <v>163</v>
      </c>
      <c r="AO90" s="18" t="s">
        <v>46</v>
      </c>
      <c r="AP90" s="22" t="s">
        <v>248</v>
      </c>
      <c r="AQ90" s="18" t="s">
        <v>250</v>
      </c>
      <c r="AR90" s="18" t="s">
        <v>131</v>
      </c>
    </row>
    <row r="91" s="18" customFormat="true" ht="24" hidden="false" customHeight="true" outlineLevel="0" collapsed="false">
      <c r="A91" s="18" t="s">
        <v>46</v>
      </c>
      <c r="B91" s="18" t="s">
        <v>46</v>
      </c>
      <c r="C91" s="21" t="s">
        <v>47</v>
      </c>
      <c r="D91" s="18" t="s">
        <v>60</v>
      </c>
      <c r="E91" s="18" t="s">
        <v>44</v>
      </c>
      <c r="F91" s="18" t="s">
        <v>61</v>
      </c>
      <c r="G91" s="21" t="s">
        <v>62</v>
      </c>
      <c r="H91" s="20" t="s">
        <v>48</v>
      </c>
      <c r="S91" s="18" t="s">
        <v>251</v>
      </c>
      <c r="T91" s="18" t="s">
        <v>251</v>
      </c>
      <c r="U91" s="21" t="s">
        <v>252</v>
      </c>
      <c r="V91" s="18" t="s">
        <v>261</v>
      </c>
      <c r="W91" s="18" t="s">
        <v>261</v>
      </c>
      <c r="X91" s="21" t="s">
        <v>262</v>
      </c>
      <c r="Y91" s="18" t="n">
        <v>3</v>
      </c>
      <c r="AD91" s="18" t="s">
        <v>77</v>
      </c>
      <c r="AG91" s="18" t="n">
        <f aca="false">COUNTIF($AF$3:$AF$219,AF91)</f>
        <v>0</v>
      </c>
      <c r="AI91" s="21"/>
    </row>
    <row r="92" s="20" customFormat="true" ht="24" hidden="false" customHeight="true" outlineLevel="0" collapsed="false">
      <c r="A92" s="20" t="s">
        <v>46</v>
      </c>
      <c r="B92" s="20" t="s">
        <v>46</v>
      </c>
      <c r="C92" s="19" t="s">
        <v>47</v>
      </c>
      <c r="D92" s="18" t="s">
        <v>60</v>
      </c>
      <c r="E92" s="18" t="s">
        <v>44</v>
      </c>
      <c r="F92" s="20" t="s">
        <v>61</v>
      </c>
      <c r="G92" s="19" t="s">
        <v>62</v>
      </c>
      <c r="H92" s="20" t="s">
        <v>48</v>
      </c>
      <c r="S92" s="20" t="s">
        <v>258</v>
      </c>
      <c r="T92" s="20" t="s">
        <v>258</v>
      </c>
      <c r="U92" s="19" t="s">
        <v>263</v>
      </c>
      <c r="V92" s="20" t="s">
        <v>254</v>
      </c>
      <c r="W92" s="20" t="s">
        <v>254</v>
      </c>
      <c r="X92" s="19" t="s">
        <v>75</v>
      </c>
      <c r="Y92" s="20" t="n">
        <v>0</v>
      </c>
      <c r="Z92" s="20" t="s">
        <v>76</v>
      </c>
      <c r="AD92" s="20" t="s">
        <v>77</v>
      </c>
      <c r="AE92" s="20" t="s">
        <v>78</v>
      </c>
      <c r="AG92" s="20" t="n">
        <f aca="false">COUNTIF($AF$3:$AF$219,AF92)</f>
        <v>0</v>
      </c>
      <c r="AI92" s="19"/>
    </row>
    <row r="93" s="20" customFormat="true" ht="24" hidden="false" customHeight="true" outlineLevel="0" collapsed="false">
      <c r="A93" s="20" t="s">
        <v>46</v>
      </c>
      <c r="B93" s="20" t="s">
        <v>46</v>
      </c>
      <c r="C93" s="19" t="s">
        <v>47</v>
      </c>
      <c r="D93" s="18" t="s">
        <v>60</v>
      </c>
      <c r="E93" s="18" t="s">
        <v>44</v>
      </c>
      <c r="F93" s="20" t="s">
        <v>61</v>
      </c>
      <c r="G93" s="19" t="s">
        <v>62</v>
      </c>
      <c r="H93" s="20" t="s">
        <v>48</v>
      </c>
      <c r="S93" s="20" t="s">
        <v>258</v>
      </c>
      <c r="T93" s="20" t="s">
        <v>258</v>
      </c>
      <c r="U93" s="19" t="s">
        <v>263</v>
      </c>
      <c r="V93" s="20" t="s">
        <v>264</v>
      </c>
      <c r="W93" s="20" t="s">
        <v>264</v>
      </c>
      <c r="X93" s="19" t="s">
        <v>265</v>
      </c>
      <c r="Y93" s="20" t="n">
        <v>1</v>
      </c>
      <c r="Z93" s="20" t="s">
        <v>81</v>
      </c>
      <c r="AD93" s="20" t="s">
        <v>77</v>
      </c>
      <c r="AG93" s="20" t="n">
        <f aca="false">COUNTIF($AF$3:$AF$219,AF93)</f>
        <v>0</v>
      </c>
      <c r="AI93" s="19"/>
    </row>
    <row r="94" s="20" customFormat="true" ht="24" hidden="false" customHeight="true" outlineLevel="0" collapsed="false">
      <c r="A94" s="20" t="s">
        <v>46</v>
      </c>
      <c r="B94" s="20" t="s">
        <v>46</v>
      </c>
      <c r="C94" s="19" t="s">
        <v>47</v>
      </c>
      <c r="D94" s="18" t="s">
        <v>60</v>
      </c>
      <c r="E94" s="18" t="s">
        <v>44</v>
      </c>
      <c r="F94" s="20" t="s">
        <v>61</v>
      </c>
      <c r="G94" s="19" t="s">
        <v>62</v>
      </c>
      <c r="H94" s="20" t="s">
        <v>48</v>
      </c>
      <c r="S94" s="20" t="s">
        <v>258</v>
      </c>
      <c r="T94" s="20" t="s">
        <v>258</v>
      </c>
      <c r="U94" s="19" t="s">
        <v>263</v>
      </c>
      <c r="V94" s="20" t="s">
        <v>266</v>
      </c>
      <c r="W94" s="20" t="s">
        <v>266</v>
      </c>
      <c r="X94" s="19" t="s">
        <v>267</v>
      </c>
      <c r="Y94" s="20" t="n">
        <v>2</v>
      </c>
      <c r="Z94" s="20" t="s">
        <v>81</v>
      </c>
      <c r="AD94" s="20" t="s">
        <v>77</v>
      </c>
      <c r="AG94" s="20" t="n">
        <f aca="false">COUNTIF($AF$3:$AF$219,AF94)</f>
        <v>0</v>
      </c>
      <c r="AI94" s="19"/>
    </row>
    <row r="95" s="18" customFormat="true" ht="24" hidden="false" customHeight="true" outlineLevel="0" collapsed="false">
      <c r="A95" s="18" t="s">
        <v>46</v>
      </c>
      <c r="B95" s="18" t="s">
        <v>46</v>
      </c>
      <c r="C95" s="21" t="s">
        <v>47</v>
      </c>
      <c r="D95" s="18" t="s">
        <v>60</v>
      </c>
      <c r="E95" s="18" t="s">
        <v>44</v>
      </c>
      <c r="F95" s="18" t="s">
        <v>61</v>
      </c>
      <c r="G95" s="21" t="s">
        <v>62</v>
      </c>
      <c r="H95" s="20" t="s">
        <v>48</v>
      </c>
      <c r="S95" s="18" t="s">
        <v>268</v>
      </c>
      <c r="T95" s="18" t="s">
        <v>268</v>
      </c>
      <c r="U95" s="21" t="s">
        <v>269</v>
      </c>
      <c r="V95" s="18" t="s">
        <v>270</v>
      </c>
      <c r="W95" s="18" t="s">
        <v>270</v>
      </c>
      <c r="X95" s="21" t="s">
        <v>75</v>
      </c>
      <c r="Y95" s="18" t="n">
        <v>0</v>
      </c>
      <c r="Z95" s="18" t="s">
        <v>76</v>
      </c>
      <c r="AD95" s="18" t="s">
        <v>77</v>
      </c>
      <c r="AE95" s="18" t="s">
        <v>78</v>
      </c>
      <c r="AG95" s="18" t="n">
        <f aca="false">COUNTIF($AF$3:$AF$219,AF95)</f>
        <v>0</v>
      </c>
      <c r="AI95" s="21"/>
    </row>
    <row r="96" s="18" customFormat="true" ht="24" hidden="false" customHeight="true" outlineLevel="0" collapsed="false">
      <c r="A96" s="18" t="s">
        <v>46</v>
      </c>
      <c r="B96" s="18" t="s">
        <v>46</v>
      </c>
      <c r="C96" s="21" t="s">
        <v>47</v>
      </c>
      <c r="D96" s="18" t="s">
        <v>60</v>
      </c>
      <c r="E96" s="18" t="s">
        <v>44</v>
      </c>
      <c r="F96" s="18" t="s">
        <v>61</v>
      </c>
      <c r="G96" s="21" t="s">
        <v>62</v>
      </c>
      <c r="H96" s="20" t="s">
        <v>48</v>
      </c>
      <c r="S96" s="18" t="s">
        <v>268</v>
      </c>
      <c r="T96" s="18" t="s">
        <v>268</v>
      </c>
      <c r="U96" s="21" t="s">
        <v>269</v>
      </c>
      <c r="V96" s="18" t="s">
        <v>271</v>
      </c>
      <c r="W96" s="18" t="s">
        <v>271</v>
      </c>
      <c r="X96" s="21" t="s">
        <v>272</v>
      </c>
      <c r="Y96" s="18" t="n">
        <v>1</v>
      </c>
      <c r="Z96" s="18" t="s">
        <v>142</v>
      </c>
      <c r="AD96" s="18" t="s">
        <v>77</v>
      </c>
      <c r="AG96" s="18" t="n">
        <f aca="false">COUNTIF($AF$3:$AF$219,AF96)</f>
        <v>0</v>
      </c>
      <c r="AI96" s="21"/>
    </row>
    <row r="97" s="18" customFormat="true" ht="24" hidden="false" customHeight="true" outlineLevel="0" collapsed="false">
      <c r="A97" s="18" t="s">
        <v>46</v>
      </c>
      <c r="B97" s="18" t="s">
        <v>46</v>
      </c>
      <c r="C97" s="21" t="s">
        <v>47</v>
      </c>
      <c r="D97" s="18" t="s">
        <v>60</v>
      </c>
      <c r="E97" s="18" t="s">
        <v>44</v>
      </c>
      <c r="F97" s="18" t="s">
        <v>61</v>
      </c>
      <c r="G97" s="21" t="s">
        <v>62</v>
      </c>
      <c r="H97" s="20" t="s">
        <v>48</v>
      </c>
      <c r="S97" s="18" t="s">
        <v>268</v>
      </c>
      <c r="T97" s="18" t="s">
        <v>268</v>
      </c>
      <c r="U97" s="21" t="s">
        <v>269</v>
      </c>
      <c r="V97" s="18" t="s">
        <v>273</v>
      </c>
      <c r="W97" s="18" t="s">
        <v>273</v>
      </c>
      <c r="X97" s="21" t="s">
        <v>274</v>
      </c>
      <c r="Y97" s="18" t="n">
        <v>2</v>
      </c>
      <c r="Z97" s="18" t="s">
        <v>76</v>
      </c>
      <c r="AD97" s="18" t="s">
        <v>78</v>
      </c>
      <c r="AF97" s="18" t="s">
        <v>275</v>
      </c>
      <c r="AG97" s="18" t="n">
        <f aca="false">COUNTIF($AF$3:$AF$219,AF97)</f>
        <v>1</v>
      </c>
      <c r="AH97" s="18" t="s">
        <v>276</v>
      </c>
      <c r="AI97" s="21"/>
      <c r="AJ97" s="18" t="s">
        <v>130</v>
      </c>
      <c r="AK97" s="18" t="s">
        <v>46</v>
      </c>
      <c r="AL97" s="22" t="s">
        <v>268</v>
      </c>
      <c r="AM97" s="18" t="s">
        <v>273</v>
      </c>
      <c r="AN97" s="18" t="s">
        <v>163</v>
      </c>
      <c r="AO97" s="18" t="s">
        <v>46</v>
      </c>
      <c r="AP97" s="22" t="s">
        <v>52</v>
      </c>
      <c r="AQ97" s="18" t="s">
        <v>273</v>
      </c>
      <c r="AR97" s="18" t="s">
        <v>131</v>
      </c>
    </row>
    <row r="98" s="18" customFormat="true" ht="24" hidden="false" customHeight="true" outlineLevel="0" collapsed="false">
      <c r="A98" s="18" t="s">
        <v>46</v>
      </c>
      <c r="B98" s="18" t="s">
        <v>46</v>
      </c>
      <c r="C98" s="21" t="s">
        <v>47</v>
      </c>
      <c r="D98" s="18" t="s">
        <v>60</v>
      </c>
      <c r="E98" s="18" t="s">
        <v>44</v>
      </c>
      <c r="F98" s="18" t="s">
        <v>61</v>
      </c>
      <c r="G98" s="21" t="s">
        <v>62</v>
      </c>
      <c r="H98" s="20" t="s">
        <v>48</v>
      </c>
      <c r="S98" s="18" t="s">
        <v>268</v>
      </c>
      <c r="T98" s="18" t="s">
        <v>268</v>
      </c>
      <c r="U98" s="21" t="s">
        <v>269</v>
      </c>
      <c r="V98" s="18" t="s">
        <v>178</v>
      </c>
      <c r="W98" s="18" t="s">
        <v>178</v>
      </c>
      <c r="X98" s="21" t="s">
        <v>277</v>
      </c>
      <c r="Y98" s="18" t="n">
        <v>3</v>
      </c>
      <c r="Z98" s="18" t="s">
        <v>76</v>
      </c>
      <c r="AD98" s="18" t="s">
        <v>78</v>
      </c>
      <c r="AF98" s="18" t="s">
        <v>278</v>
      </c>
      <c r="AG98" s="18" t="n">
        <f aca="false">COUNTIF($AF$3:$AF$219,AF98)</f>
        <v>1</v>
      </c>
      <c r="AH98" s="18" t="s">
        <v>279</v>
      </c>
      <c r="AI98" s="21"/>
      <c r="AJ98" s="18" t="s">
        <v>130</v>
      </c>
      <c r="AK98" s="18" t="s">
        <v>46</v>
      </c>
      <c r="AL98" s="22" t="s">
        <v>268</v>
      </c>
      <c r="AM98" s="18" t="s">
        <v>178</v>
      </c>
      <c r="AN98" s="18" t="s">
        <v>131</v>
      </c>
      <c r="AO98" s="18" t="s">
        <v>46</v>
      </c>
      <c r="AP98" s="22" t="s">
        <v>175</v>
      </c>
      <c r="AQ98" s="18" t="s">
        <v>178</v>
      </c>
      <c r="AR98" s="18" t="s">
        <v>131</v>
      </c>
    </row>
    <row r="99" s="18" customFormat="true" ht="24" hidden="false" customHeight="true" outlineLevel="0" collapsed="false">
      <c r="A99" s="18" t="s">
        <v>46</v>
      </c>
      <c r="B99" s="18" t="s">
        <v>46</v>
      </c>
      <c r="C99" s="21" t="s">
        <v>47</v>
      </c>
      <c r="D99" s="18" t="s">
        <v>60</v>
      </c>
      <c r="E99" s="18" t="s">
        <v>44</v>
      </c>
      <c r="F99" s="18" t="s">
        <v>61</v>
      </c>
      <c r="G99" s="21" t="s">
        <v>62</v>
      </c>
      <c r="H99" s="20" t="s">
        <v>48</v>
      </c>
      <c r="S99" s="18" t="s">
        <v>268</v>
      </c>
      <c r="T99" s="18" t="s">
        <v>268</v>
      </c>
      <c r="U99" s="21" t="s">
        <v>269</v>
      </c>
      <c r="V99" s="18" t="s">
        <v>280</v>
      </c>
      <c r="W99" s="18" t="s">
        <v>280</v>
      </c>
      <c r="X99" s="21" t="s">
        <v>281</v>
      </c>
      <c r="Y99" s="18" t="n">
        <v>4</v>
      </c>
      <c r="Z99" s="18" t="s">
        <v>81</v>
      </c>
      <c r="AD99" s="18" t="s">
        <v>77</v>
      </c>
      <c r="AG99" s="18" t="n">
        <f aca="false">COUNTIF($AF$3:$AF$219,AF99)</f>
        <v>0</v>
      </c>
      <c r="AI99" s="21"/>
    </row>
    <row r="100" s="18" customFormat="true" ht="24" hidden="false" customHeight="true" outlineLevel="0" collapsed="false">
      <c r="A100" s="18" t="s">
        <v>46</v>
      </c>
      <c r="B100" s="18" t="s">
        <v>46</v>
      </c>
      <c r="C100" s="21" t="s">
        <v>47</v>
      </c>
      <c r="D100" s="18" t="s">
        <v>60</v>
      </c>
      <c r="E100" s="18" t="s">
        <v>44</v>
      </c>
      <c r="F100" s="18" t="s">
        <v>61</v>
      </c>
      <c r="G100" s="21" t="s">
        <v>62</v>
      </c>
      <c r="H100" s="20" t="s">
        <v>48</v>
      </c>
      <c r="S100" s="18" t="s">
        <v>268</v>
      </c>
      <c r="T100" s="18" t="s">
        <v>268</v>
      </c>
      <c r="U100" s="21" t="s">
        <v>269</v>
      </c>
      <c r="V100" s="18" t="s">
        <v>282</v>
      </c>
      <c r="W100" s="18" t="s">
        <v>282</v>
      </c>
      <c r="X100" s="21" t="s">
        <v>283</v>
      </c>
      <c r="Y100" s="18" t="n">
        <v>5</v>
      </c>
      <c r="Z100" s="18" t="s">
        <v>81</v>
      </c>
      <c r="AD100" s="18" t="s">
        <v>77</v>
      </c>
      <c r="AG100" s="18" t="n">
        <f aca="false">COUNTIF($AF$3:$AF$219,AF100)</f>
        <v>0</v>
      </c>
      <c r="AI100" s="21"/>
    </row>
    <row r="101" s="18" customFormat="true" ht="24" hidden="false" customHeight="true" outlineLevel="0" collapsed="false">
      <c r="A101" s="18" t="s">
        <v>46</v>
      </c>
      <c r="B101" s="18" t="s">
        <v>46</v>
      </c>
      <c r="C101" s="21" t="s">
        <v>47</v>
      </c>
      <c r="D101" s="18" t="s">
        <v>60</v>
      </c>
      <c r="E101" s="18" t="s">
        <v>44</v>
      </c>
      <c r="F101" s="18" t="s">
        <v>61</v>
      </c>
      <c r="G101" s="21" t="s">
        <v>62</v>
      </c>
      <c r="H101" s="20" t="s">
        <v>48</v>
      </c>
      <c r="S101" s="18" t="s">
        <v>268</v>
      </c>
      <c r="T101" s="18" t="s">
        <v>268</v>
      </c>
      <c r="U101" s="21" t="s">
        <v>269</v>
      </c>
      <c r="V101" s="18" t="s">
        <v>284</v>
      </c>
      <c r="W101" s="18" t="s">
        <v>284</v>
      </c>
      <c r="X101" s="21" t="s">
        <v>285</v>
      </c>
      <c r="Y101" s="18" t="n">
        <v>6</v>
      </c>
      <c r="Z101" s="18" t="s">
        <v>81</v>
      </c>
      <c r="AD101" s="18" t="s">
        <v>77</v>
      </c>
      <c r="AG101" s="18" t="n">
        <f aca="false">COUNTIF($AF$3:$AF$219,AF101)</f>
        <v>0</v>
      </c>
      <c r="AI101" s="21"/>
    </row>
    <row r="102" s="18" customFormat="true" ht="24" hidden="false" customHeight="true" outlineLevel="0" collapsed="false">
      <c r="A102" s="18" t="s">
        <v>46</v>
      </c>
      <c r="B102" s="18" t="s">
        <v>46</v>
      </c>
      <c r="C102" s="21" t="s">
        <v>47</v>
      </c>
      <c r="D102" s="18" t="s">
        <v>60</v>
      </c>
      <c r="E102" s="18" t="s">
        <v>44</v>
      </c>
      <c r="F102" s="18" t="s">
        <v>61</v>
      </c>
      <c r="G102" s="21" t="s">
        <v>62</v>
      </c>
      <c r="H102" s="20" t="s">
        <v>48</v>
      </c>
      <c r="S102" s="18" t="s">
        <v>268</v>
      </c>
      <c r="T102" s="18" t="s">
        <v>268</v>
      </c>
      <c r="U102" s="21" t="s">
        <v>269</v>
      </c>
      <c r="V102" s="18" t="s">
        <v>286</v>
      </c>
      <c r="W102" s="18" t="s">
        <v>286</v>
      </c>
      <c r="X102" s="21" t="s">
        <v>287</v>
      </c>
      <c r="Y102" s="18" t="n">
        <v>7</v>
      </c>
      <c r="Z102" s="18" t="s">
        <v>81</v>
      </c>
      <c r="AD102" s="18" t="s">
        <v>77</v>
      </c>
      <c r="AG102" s="18" t="n">
        <f aca="false">COUNTIF($AF$3:$AF$219,AF102)</f>
        <v>0</v>
      </c>
      <c r="AI102" s="21"/>
    </row>
    <row r="103" s="18" customFormat="true" ht="24" hidden="false" customHeight="true" outlineLevel="0" collapsed="false">
      <c r="A103" s="18" t="s">
        <v>46</v>
      </c>
      <c r="B103" s="18" t="s">
        <v>46</v>
      </c>
      <c r="C103" s="21" t="s">
        <v>47</v>
      </c>
      <c r="D103" s="18" t="s">
        <v>60</v>
      </c>
      <c r="E103" s="18" t="s">
        <v>44</v>
      </c>
      <c r="F103" s="18" t="s">
        <v>61</v>
      </c>
      <c r="G103" s="21" t="s">
        <v>62</v>
      </c>
      <c r="H103" s="20" t="s">
        <v>48</v>
      </c>
      <c r="S103" s="18" t="s">
        <v>268</v>
      </c>
      <c r="T103" s="18" t="s">
        <v>268</v>
      </c>
      <c r="U103" s="21" t="s">
        <v>269</v>
      </c>
      <c r="V103" s="18" t="s">
        <v>266</v>
      </c>
      <c r="W103" s="18" t="s">
        <v>266</v>
      </c>
      <c r="X103" s="21" t="s">
        <v>288</v>
      </c>
      <c r="Y103" s="18" t="n">
        <v>8</v>
      </c>
      <c r="Z103" s="18" t="s">
        <v>81</v>
      </c>
      <c r="AD103" s="18" t="s">
        <v>77</v>
      </c>
      <c r="AG103" s="18" t="n">
        <f aca="false">COUNTIF($AF$3:$AF$219,AF103)</f>
        <v>0</v>
      </c>
      <c r="AI103" s="21"/>
    </row>
    <row r="104" s="18" customFormat="true" ht="24" hidden="false" customHeight="true" outlineLevel="0" collapsed="false">
      <c r="A104" s="18" t="s">
        <v>46</v>
      </c>
      <c r="B104" s="18" t="s">
        <v>46</v>
      </c>
      <c r="C104" s="21" t="s">
        <v>47</v>
      </c>
      <c r="D104" s="18" t="s">
        <v>60</v>
      </c>
      <c r="E104" s="18" t="s">
        <v>44</v>
      </c>
      <c r="F104" s="18" t="s">
        <v>61</v>
      </c>
      <c r="G104" s="21" t="s">
        <v>62</v>
      </c>
      <c r="H104" s="20" t="s">
        <v>48</v>
      </c>
      <c r="S104" s="18" t="s">
        <v>268</v>
      </c>
      <c r="T104" s="18" t="s">
        <v>268</v>
      </c>
      <c r="U104" s="21" t="s">
        <v>269</v>
      </c>
      <c r="V104" s="18" t="s">
        <v>289</v>
      </c>
      <c r="W104" s="18" t="s">
        <v>289</v>
      </c>
      <c r="X104" s="21" t="s">
        <v>290</v>
      </c>
      <c r="Y104" s="18" t="n">
        <v>9</v>
      </c>
      <c r="Z104" s="18" t="s">
        <v>81</v>
      </c>
      <c r="AD104" s="18" t="s">
        <v>78</v>
      </c>
      <c r="AG104" s="18" t="n">
        <f aca="false">COUNTIF($AF$3:$AF$219,AF104)</f>
        <v>0</v>
      </c>
      <c r="AI104" s="21"/>
    </row>
    <row r="105" s="18" customFormat="true" ht="24" hidden="false" customHeight="true" outlineLevel="0" collapsed="false">
      <c r="A105" s="18" t="s">
        <v>46</v>
      </c>
      <c r="B105" s="18" t="s">
        <v>46</v>
      </c>
      <c r="C105" s="21" t="s">
        <v>47</v>
      </c>
      <c r="D105" s="18" t="s">
        <v>60</v>
      </c>
      <c r="E105" s="18" t="s">
        <v>44</v>
      </c>
      <c r="F105" s="18" t="s">
        <v>61</v>
      </c>
      <c r="G105" s="21" t="s">
        <v>62</v>
      </c>
      <c r="H105" s="20" t="s">
        <v>48</v>
      </c>
      <c r="S105" s="18" t="s">
        <v>268</v>
      </c>
      <c r="T105" s="18" t="s">
        <v>268</v>
      </c>
      <c r="U105" s="21" t="s">
        <v>269</v>
      </c>
      <c r="V105" s="18" t="s">
        <v>291</v>
      </c>
      <c r="W105" s="18" t="s">
        <v>291</v>
      </c>
      <c r="X105" s="21" t="s">
        <v>292</v>
      </c>
      <c r="Y105" s="18" t="n">
        <v>10</v>
      </c>
      <c r="Z105" s="18" t="s">
        <v>293</v>
      </c>
      <c r="AD105" s="18" t="s">
        <v>78</v>
      </c>
      <c r="AG105" s="18" t="n">
        <f aca="false">COUNTIF($AF$3:$AF$219,AF105)</f>
        <v>0</v>
      </c>
      <c r="AI105" s="21"/>
    </row>
    <row r="106" s="18" customFormat="true" ht="24" hidden="false" customHeight="true" outlineLevel="0" collapsed="false">
      <c r="A106" s="18" t="s">
        <v>46</v>
      </c>
      <c r="B106" s="18" t="s">
        <v>46</v>
      </c>
      <c r="C106" s="21" t="s">
        <v>47</v>
      </c>
      <c r="D106" s="18" t="s">
        <v>60</v>
      </c>
      <c r="E106" s="18" t="s">
        <v>44</v>
      </c>
      <c r="F106" s="18" t="s">
        <v>61</v>
      </c>
      <c r="G106" s="21" t="s">
        <v>62</v>
      </c>
      <c r="H106" s="20" t="s">
        <v>48</v>
      </c>
      <c r="S106" s="18" t="s">
        <v>268</v>
      </c>
      <c r="T106" s="18" t="s">
        <v>268</v>
      </c>
      <c r="U106" s="21" t="s">
        <v>269</v>
      </c>
      <c r="V106" s="18" t="s">
        <v>294</v>
      </c>
      <c r="W106" s="18" t="s">
        <v>294</v>
      </c>
      <c r="X106" s="21" t="s">
        <v>295</v>
      </c>
      <c r="Y106" s="18" t="n">
        <v>11</v>
      </c>
      <c r="Z106" s="18" t="s">
        <v>142</v>
      </c>
      <c r="AD106" s="18" t="s">
        <v>78</v>
      </c>
      <c r="AG106" s="18" t="n">
        <f aca="false">COUNTIF($AF$3:$AF$219,AF106)</f>
        <v>0</v>
      </c>
      <c r="AI106" s="21"/>
    </row>
    <row r="107" s="20" customFormat="true" ht="24" hidden="false" customHeight="true" outlineLevel="0" collapsed="false">
      <c r="A107" s="20" t="s">
        <v>46</v>
      </c>
      <c r="B107" s="20" t="s">
        <v>46</v>
      </c>
      <c r="C107" s="19" t="s">
        <v>47</v>
      </c>
      <c r="D107" s="18" t="s">
        <v>60</v>
      </c>
      <c r="E107" s="18" t="s">
        <v>44</v>
      </c>
      <c r="F107" s="20" t="s">
        <v>61</v>
      </c>
      <c r="G107" s="19" t="s">
        <v>62</v>
      </c>
      <c r="H107" s="20" t="s">
        <v>48</v>
      </c>
      <c r="S107" s="20" t="s">
        <v>296</v>
      </c>
      <c r="T107" s="20" t="s">
        <v>296</v>
      </c>
      <c r="U107" s="19" t="s">
        <v>297</v>
      </c>
      <c r="V107" s="20" t="s">
        <v>298</v>
      </c>
      <c r="W107" s="20" t="s">
        <v>298</v>
      </c>
      <c r="X107" s="19" t="s">
        <v>75</v>
      </c>
      <c r="Y107" s="20" t="n">
        <v>0</v>
      </c>
      <c r="Z107" s="20" t="s">
        <v>76</v>
      </c>
      <c r="AD107" s="20" t="s">
        <v>77</v>
      </c>
      <c r="AE107" s="20" t="s">
        <v>78</v>
      </c>
      <c r="AG107" s="20" t="n">
        <f aca="false">COUNTIF($AF$3:$AF$219,AF107)</f>
        <v>0</v>
      </c>
      <c r="AI107" s="19"/>
    </row>
    <row r="108" s="20" customFormat="true" ht="24" hidden="false" customHeight="true" outlineLevel="0" collapsed="false">
      <c r="A108" s="20" t="s">
        <v>46</v>
      </c>
      <c r="B108" s="20" t="s">
        <v>46</v>
      </c>
      <c r="C108" s="19" t="s">
        <v>47</v>
      </c>
      <c r="D108" s="18" t="s">
        <v>60</v>
      </c>
      <c r="E108" s="18" t="s">
        <v>44</v>
      </c>
      <c r="F108" s="20" t="s">
        <v>61</v>
      </c>
      <c r="G108" s="19" t="s">
        <v>62</v>
      </c>
      <c r="H108" s="20" t="s">
        <v>48</v>
      </c>
      <c r="S108" s="20" t="s">
        <v>296</v>
      </c>
      <c r="T108" s="20" t="s">
        <v>296</v>
      </c>
      <c r="U108" s="19" t="s">
        <v>297</v>
      </c>
      <c r="V108" s="20" t="s">
        <v>254</v>
      </c>
      <c r="W108" s="20" t="s">
        <v>254</v>
      </c>
      <c r="X108" s="19" t="s">
        <v>255</v>
      </c>
      <c r="Y108" s="20" t="n">
        <v>1</v>
      </c>
      <c r="Z108" s="20" t="s">
        <v>76</v>
      </c>
      <c r="AD108" s="20" t="s">
        <v>77</v>
      </c>
      <c r="AF108" s="20" t="s">
        <v>299</v>
      </c>
      <c r="AG108" s="20" t="n">
        <f aca="false">COUNTIF($AF$3:$AF$219,AF108)</f>
        <v>1</v>
      </c>
      <c r="AH108" s="20" t="s">
        <v>300</v>
      </c>
      <c r="AI108" s="19"/>
      <c r="AJ108" s="20" t="s">
        <v>130</v>
      </c>
      <c r="AK108" s="20" t="s">
        <v>46</v>
      </c>
      <c r="AL108" s="23" t="s">
        <v>296</v>
      </c>
      <c r="AM108" s="20" t="s">
        <v>254</v>
      </c>
      <c r="AN108" s="20" t="s">
        <v>163</v>
      </c>
      <c r="AO108" s="20" t="s">
        <v>46</v>
      </c>
      <c r="AP108" s="23" t="s">
        <v>258</v>
      </c>
      <c r="AQ108" s="20" t="s">
        <v>254</v>
      </c>
      <c r="AR108" s="20" t="s">
        <v>131</v>
      </c>
    </row>
    <row r="109" s="20" customFormat="true" ht="24" hidden="false" customHeight="true" outlineLevel="0" collapsed="false">
      <c r="A109" s="20" t="s">
        <v>46</v>
      </c>
      <c r="B109" s="20" t="s">
        <v>46</v>
      </c>
      <c r="C109" s="19" t="s">
        <v>47</v>
      </c>
      <c r="D109" s="18" t="s">
        <v>60</v>
      </c>
      <c r="E109" s="18" t="s">
        <v>44</v>
      </c>
      <c r="F109" s="20" t="s">
        <v>61</v>
      </c>
      <c r="G109" s="19" t="s">
        <v>62</v>
      </c>
      <c r="H109" s="20" t="s">
        <v>48</v>
      </c>
      <c r="S109" s="20" t="s">
        <v>296</v>
      </c>
      <c r="T109" s="20" t="s">
        <v>296</v>
      </c>
      <c r="U109" s="19" t="s">
        <v>297</v>
      </c>
      <c r="V109" s="20" t="s">
        <v>270</v>
      </c>
      <c r="W109" s="20" t="s">
        <v>270</v>
      </c>
      <c r="X109" s="19" t="s">
        <v>301</v>
      </c>
      <c r="Y109" s="20" t="n">
        <v>2</v>
      </c>
      <c r="Z109" s="20" t="s">
        <v>76</v>
      </c>
      <c r="AD109" s="20" t="s">
        <v>77</v>
      </c>
      <c r="AF109" s="20" t="s">
        <v>302</v>
      </c>
      <c r="AG109" s="20" t="n">
        <f aca="false">COUNTIF($AF$3:$AF$219,AF109)</f>
        <v>1</v>
      </c>
      <c r="AH109" s="20" t="s">
        <v>303</v>
      </c>
      <c r="AI109" s="19"/>
      <c r="AJ109" s="20" t="s">
        <v>130</v>
      </c>
      <c r="AK109" s="20" t="s">
        <v>46</v>
      </c>
      <c r="AL109" s="23" t="s">
        <v>296</v>
      </c>
      <c r="AM109" s="20" t="s">
        <v>270</v>
      </c>
      <c r="AN109" s="20" t="s">
        <v>163</v>
      </c>
      <c r="AO109" s="20" t="s">
        <v>46</v>
      </c>
      <c r="AP109" s="23" t="s">
        <v>268</v>
      </c>
      <c r="AQ109" s="20" t="s">
        <v>270</v>
      </c>
      <c r="AR109" s="20" t="s">
        <v>131</v>
      </c>
    </row>
    <row r="110" s="20" customFormat="true" ht="24" hidden="false" customHeight="true" outlineLevel="0" collapsed="false">
      <c r="A110" s="20" t="s">
        <v>46</v>
      </c>
      <c r="B110" s="20" t="s">
        <v>46</v>
      </c>
      <c r="C110" s="19" t="s">
        <v>47</v>
      </c>
      <c r="D110" s="18" t="s">
        <v>60</v>
      </c>
      <c r="E110" s="18" t="s">
        <v>44</v>
      </c>
      <c r="F110" s="20" t="s">
        <v>61</v>
      </c>
      <c r="G110" s="19" t="s">
        <v>62</v>
      </c>
      <c r="H110" s="20" t="s">
        <v>48</v>
      </c>
      <c r="S110" s="20" t="s">
        <v>296</v>
      </c>
      <c r="T110" s="20" t="s">
        <v>296</v>
      </c>
      <c r="U110" s="19" t="s">
        <v>297</v>
      </c>
      <c r="V110" s="20" t="s">
        <v>304</v>
      </c>
      <c r="W110" s="20" t="s">
        <v>304</v>
      </c>
      <c r="X110" s="19" t="s">
        <v>305</v>
      </c>
      <c r="Y110" s="20" t="n">
        <v>3</v>
      </c>
      <c r="Z110" s="20" t="s">
        <v>81</v>
      </c>
      <c r="AD110" s="20" t="s">
        <v>77</v>
      </c>
      <c r="AG110" s="20" t="n">
        <f aca="false">COUNTIF($AF$3:$AF$219,AF110)</f>
        <v>0</v>
      </c>
      <c r="AI110" s="19"/>
    </row>
    <row r="111" s="20" customFormat="true" ht="24" hidden="false" customHeight="true" outlineLevel="0" collapsed="false">
      <c r="A111" s="20" t="s">
        <v>46</v>
      </c>
      <c r="B111" s="20" t="s">
        <v>46</v>
      </c>
      <c r="C111" s="19" t="s">
        <v>47</v>
      </c>
      <c r="D111" s="18" t="s">
        <v>60</v>
      </c>
      <c r="E111" s="18" t="s">
        <v>44</v>
      </c>
      <c r="F111" s="20" t="s">
        <v>61</v>
      </c>
      <c r="G111" s="19" t="s">
        <v>62</v>
      </c>
      <c r="H111" s="20" t="s">
        <v>48</v>
      </c>
      <c r="S111" s="20" t="s">
        <v>296</v>
      </c>
      <c r="T111" s="20" t="s">
        <v>296</v>
      </c>
      <c r="U111" s="19" t="s">
        <v>297</v>
      </c>
      <c r="V111" s="20" t="s">
        <v>306</v>
      </c>
      <c r="W111" s="20" t="s">
        <v>306</v>
      </c>
      <c r="X111" s="19" t="s">
        <v>307</v>
      </c>
      <c r="Y111" s="20" t="n">
        <v>4</v>
      </c>
      <c r="Z111" s="20" t="s">
        <v>308</v>
      </c>
      <c r="AD111" s="20" t="s">
        <v>77</v>
      </c>
      <c r="AG111" s="20" t="n">
        <f aca="false">COUNTIF($AF$3:$AF$219,AF111)</f>
        <v>0</v>
      </c>
      <c r="AI111" s="19"/>
    </row>
    <row r="112" s="20" customFormat="true" ht="24" hidden="false" customHeight="true" outlineLevel="0" collapsed="false">
      <c r="A112" s="20" t="s">
        <v>46</v>
      </c>
      <c r="B112" s="20" t="s">
        <v>46</v>
      </c>
      <c r="C112" s="19" t="s">
        <v>47</v>
      </c>
      <c r="D112" s="18" t="s">
        <v>60</v>
      </c>
      <c r="E112" s="18" t="s">
        <v>44</v>
      </c>
      <c r="F112" s="20" t="s">
        <v>61</v>
      </c>
      <c r="G112" s="19" t="s">
        <v>62</v>
      </c>
      <c r="H112" s="20" t="s">
        <v>48</v>
      </c>
      <c r="S112" s="20" t="s">
        <v>296</v>
      </c>
      <c r="T112" s="20" t="s">
        <v>296</v>
      </c>
      <c r="U112" s="19" t="s">
        <v>297</v>
      </c>
      <c r="V112" s="20" t="s">
        <v>266</v>
      </c>
      <c r="W112" s="20" t="s">
        <v>266</v>
      </c>
      <c r="X112" s="19" t="s">
        <v>309</v>
      </c>
      <c r="Y112" s="20" t="n">
        <v>5</v>
      </c>
      <c r="Z112" s="20" t="s">
        <v>81</v>
      </c>
      <c r="AD112" s="20" t="s">
        <v>77</v>
      </c>
      <c r="AG112" s="20" t="n">
        <f aca="false">COUNTIF($AF$3:$AF$219,AF112)</f>
        <v>0</v>
      </c>
      <c r="AI112" s="19"/>
    </row>
    <row r="113" s="20" customFormat="true" ht="24" hidden="false" customHeight="true" outlineLevel="0" collapsed="false">
      <c r="A113" s="20" t="s">
        <v>46</v>
      </c>
      <c r="B113" s="20" t="s">
        <v>46</v>
      </c>
      <c r="C113" s="19" t="s">
        <v>47</v>
      </c>
      <c r="D113" s="18" t="s">
        <v>60</v>
      </c>
      <c r="E113" s="18" t="s">
        <v>44</v>
      </c>
      <c r="F113" s="20" t="s">
        <v>61</v>
      </c>
      <c r="G113" s="19" t="s">
        <v>62</v>
      </c>
      <c r="H113" s="20" t="s">
        <v>48</v>
      </c>
      <c r="S113" s="20" t="s">
        <v>296</v>
      </c>
      <c r="T113" s="20" t="s">
        <v>296</v>
      </c>
      <c r="U113" s="19" t="s">
        <v>297</v>
      </c>
      <c r="V113" s="20" t="s">
        <v>310</v>
      </c>
      <c r="W113" s="20" t="s">
        <v>310</v>
      </c>
      <c r="X113" s="19" t="s">
        <v>311</v>
      </c>
      <c r="Y113" s="20" t="n">
        <v>6</v>
      </c>
      <c r="Z113" s="20" t="s">
        <v>81</v>
      </c>
      <c r="AD113" s="20" t="s">
        <v>77</v>
      </c>
      <c r="AG113" s="20" t="n">
        <f aca="false">COUNTIF($AF$3:$AF$219,AF113)</f>
        <v>0</v>
      </c>
      <c r="AI113" s="19"/>
    </row>
    <row r="114" s="20" customFormat="true" ht="24" hidden="false" customHeight="true" outlineLevel="0" collapsed="false">
      <c r="A114" s="20" t="s">
        <v>46</v>
      </c>
      <c r="B114" s="20" t="s">
        <v>46</v>
      </c>
      <c r="C114" s="19" t="s">
        <v>47</v>
      </c>
      <c r="D114" s="18" t="s">
        <v>60</v>
      </c>
      <c r="E114" s="18" t="s">
        <v>44</v>
      </c>
      <c r="F114" s="20" t="s">
        <v>61</v>
      </c>
      <c r="G114" s="19" t="s">
        <v>62</v>
      </c>
      <c r="H114" s="20" t="s">
        <v>48</v>
      </c>
      <c r="S114" s="20" t="s">
        <v>296</v>
      </c>
      <c r="T114" s="20" t="s">
        <v>296</v>
      </c>
      <c r="U114" s="19" t="s">
        <v>297</v>
      </c>
      <c r="V114" s="20" t="s">
        <v>312</v>
      </c>
      <c r="W114" s="20" t="s">
        <v>312</v>
      </c>
      <c r="X114" s="19" t="s">
        <v>313</v>
      </c>
      <c r="Y114" s="20" t="n">
        <v>7</v>
      </c>
      <c r="Z114" s="20" t="s">
        <v>81</v>
      </c>
      <c r="AD114" s="20" t="s">
        <v>77</v>
      </c>
      <c r="AG114" s="20" t="n">
        <f aca="false">COUNTIF($AF$3:$AF$219,AF114)</f>
        <v>0</v>
      </c>
      <c r="AI114" s="19"/>
    </row>
    <row r="115" s="20" customFormat="true" ht="24" hidden="false" customHeight="true" outlineLevel="0" collapsed="false">
      <c r="A115" s="20" t="s">
        <v>46</v>
      </c>
      <c r="B115" s="20" t="s">
        <v>46</v>
      </c>
      <c r="C115" s="19" t="s">
        <v>47</v>
      </c>
      <c r="D115" s="18" t="s">
        <v>60</v>
      </c>
      <c r="E115" s="18" t="s">
        <v>44</v>
      </c>
      <c r="F115" s="20" t="s">
        <v>61</v>
      </c>
      <c r="G115" s="19" t="s">
        <v>62</v>
      </c>
      <c r="H115" s="20" t="s">
        <v>48</v>
      </c>
      <c r="S115" s="20" t="s">
        <v>296</v>
      </c>
      <c r="T115" s="20" t="s">
        <v>296</v>
      </c>
      <c r="U115" s="19" t="s">
        <v>297</v>
      </c>
      <c r="V115" s="20" t="s">
        <v>314</v>
      </c>
      <c r="W115" s="20" t="s">
        <v>314</v>
      </c>
      <c r="X115" s="19" t="s">
        <v>315</v>
      </c>
      <c r="Y115" s="20" t="n">
        <v>8</v>
      </c>
      <c r="Z115" s="20" t="s">
        <v>142</v>
      </c>
      <c r="AD115" s="20" t="s">
        <v>77</v>
      </c>
      <c r="AG115" s="20" t="n">
        <f aca="false">COUNTIF($AF$3:$AF$219,AF115)</f>
        <v>0</v>
      </c>
      <c r="AI115" s="19"/>
    </row>
    <row r="116" s="20" customFormat="true" ht="24" hidden="false" customHeight="true" outlineLevel="0" collapsed="false">
      <c r="A116" s="20" t="s">
        <v>46</v>
      </c>
      <c r="B116" s="20" t="s">
        <v>46</v>
      </c>
      <c r="C116" s="19" t="s">
        <v>47</v>
      </c>
      <c r="D116" s="18" t="s">
        <v>60</v>
      </c>
      <c r="E116" s="18" t="s">
        <v>44</v>
      </c>
      <c r="F116" s="20" t="s">
        <v>61</v>
      </c>
      <c r="G116" s="19" t="s">
        <v>62</v>
      </c>
      <c r="H116" s="20" t="s">
        <v>48</v>
      </c>
      <c r="S116" s="20" t="s">
        <v>296</v>
      </c>
      <c r="T116" s="20" t="s">
        <v>296</v>
      </c>
      <c r="U116" s="19" t="s">
        <v>297</v>
      </c>
      <c r="V116" s="20" t="s">
        <v>316</v>
      </c>
      <c r="W116" s="20" t="s">
        <v>316</v>
      </c>
      <c r="X116" s="19" t="s">
        <v>317</v>
      </c>
      <c r="Y116" s="20" t="n">
        <v>9</v>
      </c>
      <c r="Z116" s="20" t="s">
        <v>142</v>
      </c>
      <c r="AD116" s="20" t="s">
        <v>77</v>
      </c>
      <c r="AG116" s="20" t="n">
        <f aca="false">COUNTIF($AF$3:$AF$219,AF116)</f>
        <v>0</v>
      </c>
      <c r="AI116" s="19"/>
    </row>
    <row r="117" s="18" customFormat="true" ht="24" hidden="false" customHeight="true" outlineLevel="0" collapsed="false">
      <c r="A117" s="18" t="s">
        <v>46</v>
      </c>
      <c r="B117" s="18" t="s">
        <v>46</v>
      </c>
      <c r="C117" s="21" t="s">
        <v>47</v>
      </c>
      <c r="D117" s="18" t="s">
        <v>52</v>
      </c>
      <c r="E117" s="18" t="s">
        <v>44</v>
      </c>
      <c r="F117" s="18" t="s">
        <v>52</v>
      </c>
      <c r="G117" s="21" t="s">
        <v>53</v>
      </c>
      <c r="H117" s="20" t="s">
        <v>48</v>
      </c>
      <c r="S117" s="18" t="s">
        <v>318</v>
      </c>
      <c r="T117" s="18" t="s">
        <v>318</v>
      </c>
      <c r="U117" s="21" t="s">
        <v>319</v>
      </c>
      <c r="V117" s="18" t="s">
        <v>320</v>
      </c>
      <c r="W117" s="18" t="s">
        <v>320</v>
      </c>
      <c r="X117" s="21" t="s">
        <v>75</v>
      </c>
      <c r="Y117" s="18" t="n">
        <v>0</v>
      </c>
      <c r="Z117" s="18" t="s">
        <v>76</v>
      </c>
      <c r="AD117" s="18" t="s">
        <v>77</v>
      </c>
      <c r="AE117" s="18" t="s">
        <v>78</v>
      </c>
      <c r="AG117" s="18" t="n">
        <f aca="false">COUNTIF($AF$3:$AF$219,AF117)</f>
        <v>0</v>
      </c>
      <c r="AI117" s="21"/>
    </row>
    <row r="118" s="18" customFormat="true" ht="24" hidden="false" customHeight="true" outlineLevel="0" collapsed="false">
      <c r="A118" s="18" t="s">
        <v>46</v>
      </c>
      <c r="B118" s="18" t="s">
        <v>46</v>
      </c>
      <c r="C118" s="21" t="s">
        <v>47</v>
      </c>
      <c r="D118" s="18" t="s">
        <v>52</v>
      </c>
      <c r="E118" s="18" t="s">
        <v>44</v>
      </c>
      <c r="F118" s="18" t="s">
        <v>52</v>
      </c>
      <c r="G118" s="21" t="s">
        <v>53</v>
      </c>
      <c r="H118" s="20" t="s">
        <v>48</v>
      </c>
      <c r="S118" s="18" t="s">
        <v>318</v>
      </c>
      <c r="T118" s="18" t="s">
        <v>318</v>
      </c>
      <c r="U118" s="21" t="s">
        <v>319</v>
      </c>
      <c r="V118" s="18" t="s">
        <v>171</v>
      </c>
      <c r="W118" s="18" t="s">
        <v>171</v>
      </c>
      <c r="X118" s="21" t="s">
        <v>321</v>
      </c>
      <c r="Y118" s="18" t="n">
        <v>1</v>
      </c>
      <c r="Z118" s="18" t="s">
        <v>76</v>
      </c>
      <c r="AD118" s="18" t="s">
        <v>77</v>
      </c>
      <c r="AF118" s="18" t="s">
        <v>322</v>
      </c>
      <c r="AG118" s="18" t="n">
        <f aca="false">COUNTIF($AF$3:$AF$219,AF118)</f>
        <v>1</v>
      </c>
      <c r="AH118" s="18" t="s">
        <v>323</v>
      </c>
      <c r="AI118" s="21"/>
      <c r="AJ118" s="18" t="s">
        <v>130</v>
      </c>
      <c r="AK118" s="18" t="s">
        <v>46</v>
      </c>
      <c r="AL118" s="22" t="s">
        <v>318</v>
      </c>
      <c r="AM118" s="18" t="s">
        <v>171</v>
      </c>
      <c r="AN118" s="18" t="s">
        <v>163</v>
      </c>
      <c r="AO118" s="18" t="s">
        <v>46</v>
      </c>
      <c r="AP118" s="22" t="s">
        <v>173</v>
      </c>
      <c r="AQ118" s="18" t="s">
        <v>171</v>
      </c>
      <c r="AR118" s="18" t="s">
        <v>131</v>
      </c>
    </row>
    <row r="119" s="18" customFormat="true" ht="24" hidden="false" customHeight="true" outlineLevel="0" collapsed="false">
      <c r="A119" s="18" t="s">
        <v>46</v>
      </c>
      <c r="B119" s="18" t="s">
        <v>46</v>
      </c>
      <c r="C119" s="21" t="s">
        <v>47</v>
      </c>
      <c r="D119" s="18" t="s">
        <v>52</v>
      </c>
      <c r="E119" s="18" t="s">
        <v>44</v>
      </c>
      <c r="F119" s="18" t="s">
        <v>52</v>
      </c>
      <c r="G119" s="21" t="s">
        <v>53</v>
      </c>
      <c r="H119" s="20" t="s">
        <v>48</v>
      </c>
      <c r="S119" s="18" t="s">
        <v>318</v>
      </c>
      <c r="T119" s="18" t="s">
        <v>318</v>
      </c>
      <c r="U119" s="21" t="s">
        <v>319</v>
      </c>
      <c r="V119" s="18" t="s">
        <v>324</v>
      </c>
      <c r="W119" s="18" t="s">
        <v>324</v>
      </c>
      <c r="X119" s="21" t="s">
        <v>325</v>
      </c>
      <c r="Y119" s="18" t="n">
        <v>2</v>
      </c>
      <c r="Z119" s="18" t="s">
        <v>308</v>
      </c>
      <c r="AB119" s="18" t="s">
        <v>326</v>
      </c>
      <c r="AD119" s="18" t="s">
        <v>77</v>
      </c>
      <c r="AG119" s="18" t="n">
        <f aca="false">COUNTIF($AF$3:$AF$219,AF119)</f>
        <v>0</v>
      </c>
      <c r="AI119" s="21"/>
    </row>
    <row r="120" s="18" customFormat="true" ht="24" hidden="false" customHeight="true" outlineLevel="0" collapsed="false">
      <c r="A120" s="18" t="s">
        <v>46</v>
      </c>
      <c r="B120" s="18" t="s">
        <v>46</v>
      </c>
      <c r="C120" s="21" t="s">
        <v>47</v>
      </c>
      <c r="D120" s="18" t="s">
        <v>52</v>
      </c>
      <c r="E120" s="18" t="s">
        <v>44</v>
      </c>
      <c r="F120" s="18" t="s">
        <v>52</v>
      </c>
      <c r="G120" s="21" t="s">
        <v>53</v>
      </c>
      <c r="H120" s="20" t="s">
        <v>48</v>
      </c>
      <c r="S120" s="18" t="s">
        <v>318</v>
      </c>
      <c r="T120" s="18" t="s">
        <v>318</v>
      </c>
      <c r="U120" s="21" t="s">
        <v>319</v>
      </c>
      <c r="V120" s="18" t="s">
        <v>327</v>
      </c>
      <c r="W120" s="18" t="s">
        <v>327</v>
      </c>
      <c r="X120" s="21" t="s">
        <v>328</v>
      </c>
      <c r="Y120" s="18" t="n">
        <v>3</v>
      </c>
      <c r="Z120" s="18" t="s">
        <v>81</v>
      </c>
      <c r="AB120" s="18" t="s">
        <v>329</v>
      </c>
      <c r="AD120" s="18" t="s">
        <v>77</v>
      </c>
      <c r="AG120" s="18" t="n">
        <f aca="false">COUNTIF($AF$3:$AF$219,AF120)</f>
        <v>0</v>
      </c>
      <c r="AI120" s="21"/>
    </row>
    <row r="121" s="18" customFormat="true" ht="24" hidden="false" customHeight="true" outlineLevel="0" collapsed="false">
      <c r="A121" s="18" t="s">
        <v>46</v>
      </c>
      <c r="B121" s="18" t="s">
        <v>46</v>
      </c>
      <c r="C121" s="21" t="s">
        <v>47</v>
      </c>
      <c r="D121" s="18" t="s">
        <v>52</v>
      </c>
      <c r="E121" s="18" t="s">
        <v>44</v>
      </c>
      <c r="F121" s="18" t="s">
        <v>52</v>
      </c>
      <c r="G121" s="21" t="s">
        <v>53</v>
      </c>
      <c r="H121" s="20" t="s">
        <v>48</v>
      </c>
      <c r="S121" s="18" t="s">
        <v>318</v>
      </c>
      <c r="T121" s="18" t="s">
        <v>318</v>
      </c>
      <c r="U121" s="21" t="s">
        <v>319</v>
      </c>
      <c r="V121" s="18" t="s">
        <v>330</v>
      </c>
      <c r="W121" s="18" t="s">
        <v>330</v>
      </c>
      <c r="X121" s="21" t="s">
        <v>331</v>
      </c>
      <c r="Y121" s="18" t="n">
        <v>4</v>
      </c>
      <c r="Z121" s="18" t="s">
        <v>76</v>
      </c>
      <c r="AB121" s="18" t="s">
        <v>332</v>
      </c>
      <c r="AD121" s="18" t="s">
        <v>77</v>
      </c>
      <c r="AF121" s="18" t="s">
        <v>333</v>
      </c>
      <c r="AG121" s="18" t="n">
        <f aca="false">COUNTIF($AF$3:$AF$219,AF121)</f>
        <v>1</v>
      </c>
      <c r="AH121" s="18" t="s">
        <v>334</v>
      </c>
      <c r="AI121" s="21"/>
      <c r="AJ121" s="18" t="s">
        <v>130</v>
      </c>
      <c r="AK121" s="18" t="s">
        <v>46</v>
      </c>
      <c r="AL121" s="22" t="s">
        <v>318</v>
      </c>
      <c r="AM121" s="18" t="s">
        <v>330</v>
      </c>
      <c r="AN121" s="18" t="s">
        <v>131</v>
      </c>
      <c r="AO121" s="18" t="s">
        <v>46</v>
      </c>
      <c r="AP121" s="22" t="s">
        <v>124</v>
      </c>
      <c r="AQ121" s="18" t="s">
        <v>126</v>
      </c>
      <c r="AR121" s="18" t="s">
        <v>131</v>
      </c>
    </row>
    <row r="122" s="18" customFormat="true" ht="24" hidden="false" customHeight="true" outlineLevel="0" collapsed="false">
      <c r="A122" s="18" t="s">
        <v>46</v>
      </c>
      <c r="B122" s="18" t="s">
        <v>46</v>
      </c>
      <c r="C122" s="21" t="s">
        <v>47</v>
      </c>
      <c r="D122" s="18" t="s">
        <v>52</v>
      </c>
      <c r="E122" s="18" t="s">
        <v>44</v>
      </c>
      <c r="F122" s="18" t="s">
        <v>52</v>
      </c>
      <c r="G122" s="21" t="s">
        <v>53</v>
      </c>
      <c r="H122" s="20" t="s">
        <v>48</v>
      </c>
      <c r="S122" s="18" t="s">
        <v>318</v>
      </c>
      <c r="T122" s="18" t="s">
        <v>318</v>
      </c>
      <c r="U122" s="21" t="s">
        <v>319</v>
      </c>
      <c r="V122" s="18" t="s">
        <v>335</v>
      </c>
      <c r="W122" s="18" t="s">
        <v>335</v>
      </c>
      <c r="X122" s="21" t="s">
        <v>336</v>
      </c>
      <c r="Y122" s="18" t="n">
        <v>5</v>
      </c>
      <c r="Z122" s="18" t="s">
        <v>81</v>
      </c>
      <c r="AB122" s="18" t="s">
        <v>337</v>
      </c>
      <c r="AD122" s="18" t="s">
        <v>78</v>
      </c>
      <c r="AG122" s="18" t="n">
        <f aca="false">COUNTIF($AF$3:$AF$219,AF122)</f>
        <v>0</v>
      </c>
      <c r="AI122" s="21"/>
    </row>
    <row r="123" s="20" customFormat="true" ht="24" hidden="false" customHeight="true" outlineLevel="0" collapsed="false">
      <c r="A123" s="20" t="s">
        <v>46</v>
      </c>
      <c r="B123" s="20" t="s">
        <v>46</v>
      </c>
      <c r="C123" s="19" t="s">
        <v>47</v>
      </c>
      <c r="D123" s="18" t="s">
        <v>52</v>
      </c>
      <c r="E123" s="18" t="s">
        <v>44</v>
      </c>
      <c r="F123" s="20" t="s">
        <v>52</v>
      </c>
      <c r="G123" s="19" t="s">
        <v>53</v>
      </c>
      <c r="H123" s="20" t="s">
        <v>48</v>
      </c>
      <c r="S123" s="20" t="s">
        <v>338</v>
      </c>
      <c r="T123" s="20" t="s">
        <v>338</v>
      </c>
      <c r="U123" s="19" t="s">
        <v>339</v>
      </c>
      <c r="V123" s="20" t="s">
        <v>340</v>
      </c>
      <c r="W123" s="19"/>
      <c r="X123" s="19" t="s">
        <v>75</v>
      </c>
      <c r="Y123" s="20" t="n">
        <v>0</v>
      </c>
      <c r="Z123" s="20" t="s">
        <v>76</v>
      </c>
      <c r="AD123" s="20" t="s">
        <v>77</v>
      </c>
      <c r="AE123" s="20" t="s">
        <v>78</v>
      </c>
      <c r="AG123" s="20" t="n">
        <f aca="false">COUNTIF($AF$3:$AF$219,AF123)</f>
        <v>0</v>
      </c>
      <c r="AI123" s="19"/>
    </row>
    <row r="124" s="20" customFormat="true" ht="24" hidden="false" customHeight="true" outlineLevel="0" collapsed="false">
      <c r="A124" s="20" t="s">
        <v>46</v>
      </c>
      <c r="B124" s="20" t="s">
        <v>46</v>
      </c>
      <c r="C124" s="19" t="s">
        <v>47</v>
      </c>
      <c r="D124" s="18" t="s">
        <v>52</v>
      </c>
      <c r="E124" s="18" t="s">
        <v>44</v>
      </c>
      <c r="F124" s="20" t="s">
        <v>52</v>
      </c>
      <c r="G124" s="19" t="s">
        <v>53</v>
      </c>
      <c r="H124" s="20" t="s">
        <v>48</v>
      </c>
      <c r="S124" s="20" t="s">
        <v>338</v>
      </c>
      <c r="T124" s="20" t="s">
        <v>338</v>
      </c>
      <c r="U124" s="19" t="s">
        <v>339</v>
      </c>
      <c r="V124" s="20" t="s">
        <v>208</v>
      </c>
      <c r="W124" s="19"/>
      <c r="X124" s="19"/>
      <c r="Y124" s="20" t="n">
        <v>1</v>
      </c>
      <c r="Z124" s="20" t="s">
        <v>76</v>
      </c>
      <c r="AD124" s="20" t="s">
        <v>77</v>
      </c>
      <c r="AF124" s="20" t="s">
        <v>341</v>
      </c>
      <c r="AG124" s="20" t="n">
        <f aca="false">COUNTIF($AF$3:$AF$219,AF124)</f>
        <v>1</v>
      </c>
      <c r="AH124" s="20" t="s">
        <v>342</v>
      </c>
      <c r="AI124" s="19"/>
      <c r="AJ124" s="20" t="s">
        <v>130</v>
      </c>
      <c r="AK124" s="20" t="s">
        <v>46</v>
      </c>
      <c r="AL124" s="23" t="s">
        <v>338</v>
      </c>
      <c r="AM124" s="20" t="s">
        <v>208</v>
      </c>
      <c r="AN124" s="20" t="s">
        <v>163</v>
      </c>
      <c r="AO124" s="20" t="s">
        <v>46</v>
      </c>
      <c r="AP124" s="23" t="s">
        <v>205</v>
      </c>
      <c r="AQ124" s="20" t="s">
        <v>208</v>
      </c>
      <c r="AR124" s="20" t="s">
        <v>131</v>
      </c>
    </row>
    <row r="125" s="20" customFormat="true" ht="24" hidden="false" customHeight="true" outlineLevel="0" collapsed="false">
      <c r="A125" s="20" t="s">
        <v>46</v>
      </c>
      <c r="B125" s="20" t="s">
        <v>46</v>
      </c>
      <c r="C125" s="19" t="s">
        <v>47</v>
      </c>
      <c r="D125" s="18" t="s">
        <v>52</v>
      </c>
      <c r="E125" s="18" t="s">
        <v>44</v>
      </c>
      <c r="F125" s="20" t="s">
        <v>52</v>
      </c>
      <c r="G125" s="19" t="s">
        <v>53</v>
      </c>
      <c r="H125" s="20" t="s">
        <v>48</v>
      </c>
      <c r="S125" s="20" t="s">
        <v>338</v>
      </c>
      <c r="T125" s="20" t="s">
        <v>338</v>
      </c>
      <c r="U125" s="19" t="s">
        <v>339</v>
      </c>
      <c r="V125" s="20" t="s">
        <v>171</v>
      </c>
      <c r="W125" s="19"/>
      <c r="X125" s="19"/>
      <c r="Y125" s="20" t="n">
        <v>2</v>
      </c>
      <c r="Z125" s="20" t="s">
        <v>76</v>
      </c>
      <c r="AD125" s="20" t="s">
        <v>77</v>
      </c>
      <c r="AF125" s="20" t="s">
        <v>343</v>
      </c>
      <c r="AG125" s="20" t="n">
        <f aca="false">COUNTIF($AF$3:$AF$219,AF125)</f>
        <v>1</v>
      </c>
      <c r="AH125" s="20" t="s">
        <v>344</v>
      </c>
      <c r="AI125" s="19"/>
      <c r="AJ125" s="20" t="s">
        <v>130</v>
      </c>
      <c r="AK125" s="20" t="s">
        <v>46</v>
      </c>
      <c r="AL125" s="23" t="s">
        <v>338</v>
      </c>
      <c r="AM125" s="20" t="s">
        <v>171</v>
      </c>
      <c r="AN125" s="20" t="s">
        <v>163</v>
      </c>
      <c r="AO125" s="20" t="s">
        <v>46</v>
      </c>
      <c r="AP125" s="23" t="s">
        <v>173</v>
      </c>
      <c r="AQ125" s="20" t="s">
        <v>171</v>
      </c>
      <c r="AR125" s="20" t="s">
        <v>131</v>
      </c>
    </row>
    <row r="126" s="20" customFormat="true" ht="24" hidden="false" customHeight="true" outlineLevel="0" collapsed="false">
      <c r="A126" s="20" t="s">
        <v>46</v>
      </c>
      <c r="B126" s="20" t="s">
        <v>46</v>
      </c>
      <c r="C126" s="19" t="s">
        <v>47</v>
      </c>
      <c r="D126" s="18" t="s">
        <v>52</v>
      </c>
      <c r="E126" s="18" t="s">
        <v>44</v>
      </c>
      <c r="F126" s="20" t="s">
        <v>52</v>
      </c>
      <c r="G126" s="19" t="s">
        <v>53</v>
      </c>
      <c r="H126" s="20" t="s">
        <v>48</v>
      </c>
      <c r="S126" s="20" t="s">
        <v>338</v>
      </c>
      <c r="T126" s="20" t="s">
        <v>338</v>
      </c>
      <c r="U126" s="19" t="s">
        <v>339</v>
      </c>
      <c r="V126" s="20" t="s">
        <v>345</v>
      </c>
      <c r="W126" s="19"/>
      <c r="X126" s="19"/>
      <c r="Y126" s="20" t="n">
        <v>3</v>
      </c>
      <c r="Z126" s="20" t="s">
        <v>81</v>
      </c>
      <c r="AD126" s="20" t="s">
        <v>78</v>
      </c>
      <c r="AG126" s="20" t="n">
        <f aca="false">COUNTIF($AF$3:$AF$219,AF126)</f>
        <v>0</v>
      </c>
      <c r="AI126" s="19"/>
    </row>
    <row r="127" s="20" customFormat="true" ht="24" hidden="false" customHeight="true" outlineLevel="0" collapsed="false">
      <c r="A127" s="20" t="s">
        <v>46</v>
      </c>
      <c r="B127" s="20" t="s">
        <v>46</v>
      </c>
      <c r="C127" s="19" t="s">
        <v>47</v>
      </c>
      <c r="D127" s="18" t="s">
        <v>52</v>
      </c>
      <c r="E127" s="18" t="s">
        <v>44</v>
      </c>
      <c r="F127" s="20" t="s">
        <v>52</v>
      </c>
      <c r="G127" s="19" t="s">
        <v>53</v>
      </c>
      <c r="H127" s="20" t="s">
        <v>48</v>
      </c>
      <c r="S127" s="20" t="s">
        <v>338</v>
      </c>
      <c r="T127" s="20" t="s">
        <v>338</v>
      </c>
      <c r="U127" s="19" t="s">
        <v>339</v>
      </c>
      <c r="V127" s="20" t="s">
        <v>346</v>
      </c>
      <c r="W127" s="19"/>
      <c r="X127" s="19"/>
      <c r="Y127" s="20" t="n">
        <v>4</v>
      </c>
      <c r="Z127" s="20" t="s">
        <v>81</v>
      </c>
      <c r="AD127" s="20" t="s">
        <v>78</v>
      </c>
      <c r="AG127" s="20" t="n">
        <f aca="false">COUNTIF($AF$3:$AF$219,AF127)</f>
        <v>0</v>
      </c>
      <c r="AI127" s="19"/>
    </row>
    <row r="128" s="18" customFormat="true" ht="24" hidden="false" customHeight="true" outlineLevel="0" collapsed="false">
      <c r="A128" s="18" t="s">
        <v>46</v>
      </c>
      <c r="B128" s="18" t="s">
        <v>46</v>
      </c>
      <c r="C128" s="21" t="s">
        <v>47</v>
      </c>
      <c r="D128" s="18" t="s">
        <v>52</v>
      </c>
      <c r="E128" s="18" t="s">
        <v>44</v>
      </c>
      <c r="F128" s="18" t="s">
        <v>52</v>
      </c>
      <c r="G128" s="21" t="s">
        <v>53</v>
      </c>
      <c r="H128" s="20" t="s">
        <v>48</v>
      </c>
      <c r="S128" s="18" t="s">
        <v>347</v>
      </c>
      <c r="T128" s="18" t="s">
        <v>347</v>
      </c>
      <c r="U128" s="21" t="s">
        <v>348</v>
      </c>
      <c r="V128" s="18" t="s">
        <v>349</v>
      </c>
      <c r="W128" s="18" t="s">
        <v>349</v>
      </c>
      <c r="X128" s="21" t="s">
        <v>75</v>
      </c>
      <c r="Y128" s="18" t="n">
        <v>0</v>
      </c>
      <c r="Z128" s="18" t="s">
        <v>76</v>
      </c>
      <c r="AD128" s="18" t="s">
        <v>77</v>
      </c>
      <c r="AE128" s="18" t="s">
        <v>78</v>
      </c>
      <c r="AG128" s="18" t="n">
        <f aca="false">COUNTIF($AF$3:$AF$219,AF128)</f>
        <v>0</v>
      </c>
      <c r="AI128" s="21"/>
    </row>
    <row r="129" s="18" customFormat="true" ht="24" hidden="false" customHeight="true" outlineLevel="0" collapsed="false">
      <c r="A129" s="18" t="s">
        <v>46</v>
      </c>
      <c r="B129" s="18" t="s">
        <v>46</v>
      </c>
      <c r="C129" s="21" t="s">
        <v>47</v>
      </c>
      <c r="D129" s="18" t="s">
        <v>52</v>
      </c>
      <c r="E129" s="18" t="s">
        <v>44</v>
      </c>
      <c r="F129" s="18" t="s">
        <v>52</v>
      </c>
      <c r="G129" s="21" t="s">
        <v>53</v>
      </c>
      <c r="H129" s="20" t="s">
        <v>48</v>
      </c>
      <c r="S129" s="18" t="s">
        <v>347</v>
      </c>
      <c r="T129" s="18" t="s">
        <v>347</v>
      </c>
      <c r="U129" s="21" t="s">
        <v>348</v>
      </c>
      <c r="V129" s="18" t="s">
        <v>171</v>
      </c>
      <c r="W129" s="18" t="s">
        <v>171</v>
      </c>
      <c r="X129" s="21" t="s">
        <v>350</v>
      </c>
      <c r="Y129" s="18" t="n">
        <v>1</v>
      </c>
      <c r="Z129" s="18" t="s">
        <v>76</v>
      </c>
      <c r="AD129" s="18" t="s">
        <v>77</v>
      </c>
      <c r="AF129" s="18" t="s">
        <v>351</v>
      </c>
      <c r="AG129" s="18" t="n">
        <f aca="false">COUNTIF($AF$3:$AF$219,AF129)</f>
        <v>1</v>
      </c>
      <c r="AH129" s="18" t="s">
        <v>352</v>
      </c>
      <c r="AI129" s="21"/>
      <c r="AJ129" s="18" t="s">
        <v>130</v>
      </c>
      <c r="AK129" s="18" t="s">
        <v>46</v>
      </c>
      <c r="AL129" s="22" t="s">
        <v>347</v>
      </c>
      <c r="AM129" s="18" t="s">
        <v>171</v>
      </c>
      <c r="AN129" s="18" t="s">
        <v>163</v>
      </c>
      <c r="AO129" s="18" t="s">
        <v>46</v>
      </c>
      <c r="AP129" s="22" t="s">
        <v>173</v>
      </c>
      <c r="AQ129" s="18" t="s">
        <v>171</v>
      </c>
      <c r="AR129" s="18" t="s">
        <v>131</v>
      </c>
    </row>
    <row r="130" s="18" customFormat="true" ht="24" hidden="false" customHeight="true" outlineLevel="0" collapsed="false">
      <c r="A130" s="18" t="s">
        <v>46</v>
      </c>
      <c r="B130" s="18" t="s">
        <v>46</v>
      </c>
      <c r="C130" s="21" t="s">
        <v>47</v>
      </c>
      <c r="D130" s="18" t="s">
        <v>52</v>
      </c>
      <c r="E130" s="18" t="s">
        <v>44</v>
      </c>
      <c r="F130" s="18" t="s">
        <v>52</v>
      </c>
      <c r="G130" s="21" t="s">
        <v>53</v>
      </c>
      <c r="H130" s="20" t="s">
        <v>48</v>
      </c>
      <c r="S130" s="18" t="s">
        <v>347</v>
      </c>
      <c r="T130" s="18" t="s">
        <v>347</v>
      </c>
      <c r="U130" s="21" t="s">
        <v>348</v>
      </c>
      <c r="V130" s="18" t="s">
        <v>353</v>
      </c>
      <c r="W130" s="18" t="s">
        <v>353</v>
      </c>
      <c r="X130" s="21" t="s">
        <v>354</v>
      </c>
      <c r="Y130" s="18" t="n">
        <v>2</v>
      </c>
      <c r="Z130" s="18" t="s">
        <v>81</v>
      </c>
      <c r="AB130" s="21" t="s">
        <v>355</v>
      </c>
      <c r="AC130" s="21"/>
      <c r="AD130" s="18" t="s">
        <v>78</v>
      </c>
      <c r="AG130" s="18" t="n">
        <f aca="false">COUNTIF($AF$3:$AF$219,AF130)</f>
        <v>0</v>
      </c>
      <c r="AI130" s="21"/>
    </row>
    <row r="131" s="18" customFormat="true" ht="24" hidden="false" customHeight="true" outlineLevel="0" collapsed="false">
      <c r="A131" s="18" t="s">
        <v>46</v>
      </c>
      <c r="B131" s="18" t="s">
        <v>46</v>
      </c>
      <c r="C131" s="21" t="s">
        <v>47</v>
      </c>
      <c r="D131" s="18" t="s">
        <v>52</v>
      </c>
      <c r="E131" s="18" t="s">
        <v>44</v>
      </c>
      <c r="F131" s="18" t="s">
        <v>52</v>
      </c>
      <c r="G131" s="21" t="s">
        <v>53</v>
      </c>
      <c r="H131" s="20" t="s">
        <v>48</v>
      </c>
      <c r="S131" s="18" t="s">
        <v>347</v>
      </c>
      <c r="T131" s="18" t="s">
        <v>347</v>
      </c>
      <c r="U131" s="21" t="s">
        <v>348</v>
      </c>
      <c r="V131" s="18" t="s">
        <v>356</v>
      </c>
      <c r="W131" s="18" t="s">
        <v>356</v>
      </c>
      <c r="X131" s="21" t="s">
        <v>357</v>
      </c>
      <c r="Y131" s="18" t="n">
        <v>3</v>
      </c>
      <c r="Z131" s="18" t="s">
        <v>81</v>
      </c>
      <c r="AB131" s="21" t="s">
        <v>358</v>
      </c>
      <c r="AC131" s="21"/>
      <c r="AD131" s="18" t="s">
        <v>78</v>
      </c>
      <c r="AG131" s="18" t="n">
        <f aca="false">COUNTIF($AF$3:$AF$219,AF131)</f>
        <v>0</v>
      </c>
      <c r="AI131" s="21"/>
    </row>
    <row r="132" s="18" customFormat="true" ht="24" hidden="false" customHeight="true" outlineLevel="0" collapsed="false">
      <c r="A132" s="18" t="s">
        <v>46</v>
      </c>
      <c r="B132" s="18" t="s">
        <v>46</v>
      </c>
      <c r="C132" s="21" t="s">
        <v>47</v>
      </c>
      <c r="D132" s="18" t="s">
        <v>52</v>
      </c>
      <c r="E132" s="18" t="s">
        <v>44</v>
      </c>
      <c r="F132" s="18" t="s">
        <v>52</v>
      </c>
      <c r="G132" s="21" t="s">
        <v>53</v>
      </c>
      <c r="H132" s="20" t="s">
        <v>48</v>
      </c>
      <c r="S132" s="18" t="s">
        <v>347</v>
      </c>
      <c r="T132" s="18" t="s">
        <v>347</v>
      </c>
      <c r="U132" s="21" t="s">
        <v>348</v>
      </c>
      <c r="V132" s="18" t="s">
        <v>359</v>
      </c>
      <c r="W132" s="18" t="s">
        <v>359</v>
      </c>
      <c r="X132" s="21" t="s">
        <v>360</v>
      </c>
      <c r="Y132" s="18" t="n">
        <v>4</v>
      </c>
      <c r="Z132" s="18" t="s">
        <v>81</v>
      </c>
      <c r="AB132" s="21" t="s">
        <v>361</v>
      </c>
      <c r="AC132" s="21"/>
      <c r="AD132" s="18" t="s">
        <v>78</v>
      </c>
      <c r="AG132" s="18" t="n">
        <f aca="false">COUNTIF($AF$3:$AF$219,AF132)</f>
        <v>0</v>
      </c>
      <c r="AI132" s="21"/>
    </row>
    <row r="133" s="18" customFormat="true" ht="24" hidden="false" customHeight="true" outlineLevel="0" collapsed="false">
      <c r="A133" s="18" t="s">
        <v>46</v>
      </c>
      <c r="B133" s="18" t="s">
        <v>46</v>
      </c>
      <c r="C133" s="21" t="s">
        <v>47</v>
      </c>
      <c r="D133" s="18" t="s">
        <v>52</v>
      </c>
      <c r="E133" s="18" t="s">
        <v>44</v>
      </c>
      <c r="F133" s="18" t="s">
        <v>52</v>
      </c>
      <c r="G133" s="21" t="s">
        <v>53</v>
      </c>
      <c r="H133" s="20" t="s">
        <v>48</v>
      </c>
      <c r="S133" s="18" t="s">
        <v>347</v>
      </c>
      <c r="T133" s="18" t="s">
        <v>347</v>
      </c>
      <c r="U133" s="21" t="s">
        <v>348</v>
      </c>
      <c r="V133" s="18" t="s">
        <v>362</v>
      </c>
      <c r="W133" s="18" t="s">
        <v>362</v>
      </c>
      <c r="X133" s="21" t="s">
        <v>363</v>
      </c>
      <c r="Y133" s="18" t="n">
        <v>5</v>
      </c>
      <c r="Z133" s="18" t="s">
        <v>81</v>
      </c>
      <c r="AB133" s="21" t="s">
        <v>364</v>
      </c>
      <c r="AC133" s="21"/>
      <c r="AD133" s="18" t="s">
        <v>78</v>
      </c>
      <c r="AG133" s="18" t="n">
        <f aca="false">COUNTIF($AF$3:$AF$219,AF133)</f>
        <v>0</v>
      </c>
      <c r="AI133" s="21"/>
    </row>
    <row r="134" s="20" customFormat="true" ht="24" hidden="false" customHeight="true" outlineLevel="0" collapsed="false">
      <c r="A134" s="20" t="s">
        <v>46</v>
      </c>
      <c r="B134" s="20" t="s">
        <v>46</v>
      </c>
      <c r="C134" s="19" t="s">
        <v>47</v>
      </c>
      <c r="D134" s="18" t="s">
        <v>52</v>
      </c>
      <c r="E134" s="18" t="s">
        <v>44</v>
      </c>
      <c r="F134" s="20" t="s">
        <v>52</v>
      </c>
      <c r="G134" s="19" t="s">
        <v>53</v>
      </c>
      <c r="H134" s="20" t="s">
        <v>48</v>
      </c>
      <c r="S134" s="20" t="s">
        <v>365</v>
      </c>
      <c r="T134" s="20" t="s">
        <v>365</v>
      </c>
      <c r="U134" s="19" t="s">
        <v>366</v>
      </c>
      <c r="V134" s="20" t="s">
        <v>367</v>
      </c>
      <c r="W134" s="19"/>
      <c r="X134" s="19" t="s">
        <v>75</v>
      </c>
      <c r="Y134" s="20" t="n">
        <v>0</v>
      </c>
      <c r="Z134" s="20" t="s">
        <v>76</v>
      </c>
      <c r="AD134" s="20" t="s">
        <v>77</v>
      </c>
      <c r="AE134" s="20" t="s">
        <v>78</v>
      </c>
      <c r="AG134" s="20" t="n">
        <f aca="false">COUNTIF($AF$3:$AF$219,AF134)</f>
        <v>0</v>
      </c>
      <c r="AI134" s="19"/>
    </row>
    <row r="135" s="20" customFormat="true" ht="24" hidden="false" customHeight="true" outlineLevel="0" collapsed="false">
      <c r="A135" s="20" t="s">
        <v>46</v>
      </c>
      <c r="B135" s="20" t="s">
        <v>46</v>
      </c>
      <c r="C135" s="19" t="s">
        <v>47</v>
      </c>
      <c r="D135" s="18" t="s">
        <v>52</v>
      </c>
      <c r="E135" s="18" t="s">
        <v>44</v>
      </c>
      <c r="F135" s="20" t="s">
        <v>52</v>
      </c>
      <c r="G135" s="19" t="s">
        <v>53</v>
      </c>
      <c r="H135" s="20" t="s">
        <v>48</v>
      </c>
      <c r="S135" s="20" t="s">
        <v>365</v>
      </c>
      <c r="T135" s="20" t="s">
        <v>365</v>
      </c>
      <c r="U135" s="19" t="s">
        <v>366</v>
      </c>
      <c r="V135" s="20" t="s">
        <v>171</v>
      </c>
      <c r="W135" s="19"/>
      <c r="X135" s="19" t="s">
        <v>368</v>
      </c>
      <c r="Y135" s="20" t="n">
        <v>1</v>
      </c>
      <c r="Z135" s="20" t="s">
        <v>76</v>
      </c>
      <c r="AD135" s="20" t="s">
        <v>77</v>
      </c>
      <c r="AF135" s="20" t="s">
        <v>369</v>
      </c>
      <c r="AG135" s="20" t="n">
        <f aca="false">COUNTIF($AF$3:$AF$219,AF135)</f>
        <v>1</v>
      </c>
      <c r="AH135" s="20" t="s">
        <v>370</v>
      </c>
      <c r="AI135" s="19"/>
      <c r="AJ135" s="20" t="s">
        <v>130</v>
      </c>
      <c r="AK135" s="20" t="s">
        <v>46</v>
      </c>
      <c r="AL135" s="23" t="s">
        <v>365</v>
      </c>
      <c r="AM135" s="20" t="s">
        <v>171</v>
      </c>
      <c r="AN135" s="20" t="s">
        <v>163</v>
      </c>
      <c r="AO135" s="20" t="s">
        <v>46</v>
      </c>
      <c r="AP135" s="23" t="s">
        <v>173</v>
      </c>
      <c r="AQ135" s="20" t="s">
        <v>171</v>
      </c>
      <c r="AR135" s="20" t="s">
        <v>131</v>
      </c>
    </row>
    <row r="136" s="20" customFormat="true" ht="24" hidden="false" customHeight="true" outlineLevel="0" collapsed="false">
      <c r="A136" s="20" t="s">
        <v>46</v>
      </c>
      <c r="B136" s="20" t="s">
        <v>46</v>
      </c>
      <c r="C136" s="19" t="s">
        <v>47</v>
      </c>
      <c r="D136" s="18" t="s">
        <v>52</v>
      </c>
      <c r="E136" s="18" t="s">
        <v>44</v>
      </c>
      <c r="F136" s="20" t="s">
        <v>52</v>
      </c>
      <c r="G136" s="19" t="s">
        <v>53</v>
      </c>
      <c r="H136" s="20" t="s">
        <v>48</v>
      </c>
      <c r="S136" s="20" t="s">
        <v>365</v>
      </c>
      <c r="T136" s="20" t="s">
        <v>365</v>
      </c>
      <c r="U136" s="19" t="s">
        <v>366</v>
      </c>
      <c r="V136" s="20" t="s">
        <v>371</v>
      </c>
      <c r="W136" s="19"/>
      <c r="X136" s="19" t="s">
        <v>368</v>
      </c>
      <c r="Y136" s="20" t="n">
        <v>2</v>
      </c>
      <c r="Z136" s="20" t="s">
        <v>81</v>
      </c>
      <c r="AD136" s="20" t="s">
        <v>78</v>
      </c>
      <c r="AG136" s="20" t="n">
        <f aca="false">COUNTIF($AF$3:$AF$219,AF136)</f>
        <v>0</v>
      </c>
      <c r="AI136" s="19"/>
    </row>
    <row r="137" s="18" customFormat="true" ht="24" hidden="false" customHeight="true" outlineLevel="0" collapsed="false">
      <c r="A137" s="18" t="s">
        <v>46</v>
      </c>
      <c r="B137" s="18" t="s">
        <v>46</v>
      </c>
      <c r="C137" s="21" t="s">
        <v>47</v>
      </c>
      <c r="D137" s="18" t="s">
        <v>52</v>
      </c>
      <c r="E137" s="18" t="s">
        <v>44</v>
      </c>
      <c r="F137" s="18" t="s">
        <v>52</v>
      </c>
      <c r="G137" s="21" t="s">
        <v>53</v>
      </c>
      <c r="H137" s="20" t="s">
        <v>48</v>
      </c>
      <c r="S137" s="18" t="s">
        <v>372</v>
      </c>
      <c r="T137" s="18" t="s">
        <v>372</v>
      </c>
      <c r="U137" s="21" t="s">
        <v>373</v>
      </c>
      <c r="V137" s="18" t="s">
        <v>374</v>
      </c>
      <c r="W137" s="21"/>
      <c r="X137" s="21" t="s">
        <v>75</v>
      </c>
      <c r="Y137" s="18" t="n">
        <v>0</v>
      </c>
      <c r="Z137" s="18" t="s">
        <v>76</v>
      </c>
      <c r="AD137" s="18" t="s">
        <v>77</v>
      </c>
      <c r="AE137" s="18" t="s">
        <v>78</v>
      </c>
      <c r="AG137" s="18" t="n">
        <f aca="false">COUNTIF($AF$3:$AF$219,AF137)</f>
        <v>0</v>
      </c>
      <c r="AI137" s="21"/>
    </row>
    <row r="138" s="18" customFormat="true" ht="24" hidden="false" customHeight="true" outlineLevel="0" collapsed="false">
      <c r="A138" s="18" t="s">
        <v>46</v>
      </c>
      <c r="B138" s="18" t="s">
        <v>46</v>
      </c>
      <c r="C138" s="21" t="s">
        <v>47</v>
      </c>
      <c r="D138" s="18" t="s">
        <v>52</v>
      </c>
      <c r="E138" s="18" t="s">
        <v>44</v>
      </c>
      <c r="F138" s="18" t="s">
        <v>52</v>
      </c>
      <c r="G138" s="21" t="s">
        <v>53</v>
      </c>
      <c r="H138" s="20" t="s">
        <v>48</v>
      </c>
      <c r="S138" s="18" t="s">
        <v>372</v>
      </c>
      <c r="T138" s="18" t="s">
        <v>372</v>
      </c>
      <c r="U138" s="21" t="s">
        <v>373</v>
      </c>
      <c r="V138" s="18" t="s">
        <v>171</v>
      </c>
      <c r="W138" s="21" t="s">
        <v>171</v>
      </c>
      <c r="X138" s="21" t="s">
        <v>350</v>
      </c>
      <c r="Y138" s="18" t="n">
        <v>1</v>
      </c>
      <c r="Z138" s="18" t="s">
        <v>76</v>
      </c>
      <c r="AD138" s="18" t="s">
        <v>77</v>
      </c>
      <c r="AF138" s="18" t="s">
        <v>375</v>
      </c>
      <c r="AG138" s="18" t="n">
        <f aca="false">COUNTIF($AF$3:$AF$219,AF138)</f>
        <v>1</v>
      </c>
      <c r="AH138" s="18" t="s">
        <v>376</v>
      </c>
      <c r="AI138" s="21"/>
      <c r="AJ138" s="18" t="s">
        <v>130</v>
      </c>
      <c r="AK138" s="18" t="s">
        <v>46</v>
      </c>
      <c r="AL138" s="22" t="s">
        <v>372</v>
      </c>
      <c r="AM138" s="18" t="s">
        <v>171</v>
      </c>
      <c r="AN138" s="18" t="s">
        <v>163</v>
      </c>
      <c r="AO138" s="18" t="s">
        <v>46</v>
      </c>
      <c r="AP138" s="22" t="s">
        <v>173</v>
      </c>
      <c r="AQ138" s="18" t="s">
        <v>171</v>
      </c>
      <c r="AR138" s="18" t="s">
        <v>131</v>
      </c>
    </row>
    <row r="139" s="18" customFormat="true" ht="24.75" hidden="false" customHeight="true" outlineLevel="0" collapsed="false">
      <c r="A139" s="18" t="s">
        <v>46</v>
      </c>
      <c r="B139" s="18" t="s">
        <v>46</v>
      </c>
      <c r="C139" s="21" t="s">
        <v>47</v>
      </c>
      <c r="D139" s="18" t="s">
        <v>52</v>
      </c>
      <c r="E139" s="18" t="s">
        <v>44</v>
      </c>
      <c r="F139" s="18" t="s">
        <v>52</v>
      </c>
      <c r="G139" s="21" t="s">
        <v>53</v>
      </c>
      <c r="H139" s="20" t="s">
        <v>48</v>
      </c>
      <c r="S139" s="18" t="s">
        <v>372</v>
      </c>
      <c r="T139" s="18" t="s">
        <v>372</v>
      </c>
      <c r="U139" s="21" t="s">
        <v>373</v>
      </c>
      <c r="V139" s="18" t="s">
        <v>377</v>
      </c>
      <c r="W139" s="21"/>
      <c r="X139" s="21" t="s">
        <v>378</v>
      </c>
      <c r="Y139" s="18" t="n">
        <v>2</v>
      </c>
      <c r="Z139" s="18" t="s">
        <v>81</v>
      </c>
      <c r="AD139" s="18" t="s">
        <v>78</v>
      </c>
      <c r="AG139" s="18" t="n">
        <f aca="false">COUNTIF($AF$3:$AF$219,AF139)</f>
        <v>0</v>
      </c>
      <c r="AI139" s="21"/>
    </row>
    <row r="140" s="18" customFormat="true" ht="24.75" hidden="false" customHeight="true" outlineLevel="0" collapsed="false">
      <c r="A140" s="18" t="s">
        <v>46</v>
      </c>
      <c r="B140" s="18" t="s">
        <v>46</v>
      </c>
      <c r="C140" s="21" t="s">
        <v>47</v>
      </c>
      <c r="D140" s="18" t="s">
        <v>52</v>
      </c>
      <c r="E140" s="18" t="s">
        <v>44</v>
      </c>
      <c r="F140" s="18" t="s">
        <v>52</v>
      </c>
      <c r="G140" s="21" t="s">
        <v>53</v>
      </c>
      <c r="H140" s="20" t="s">
        <v>48</v>
      </c>
      <c r="S140" s="18" t="s">
        <v>372</v>
      </c>
      <c r="T140" s="18" t="s">
        <v>372</v>
      </c>
      <c r="U140" s="21" t="s">
        <v>373</v>
      </c>
      <c r="V140" s="18" t="s">
        <v>379</v>
      </c>
      <c r="W140" s="21"/>
      <c r="X140" s="21" t="s">
        <v>380</v>
      </c>
      <c r="Y140" s="18" t="n">
        <v>3</v>
      </c>
      <c r="Z140" s="18" t="s">
        <v>81</v>
      </c>
      <c r="AD140" s="18" t="s">
        <v>78</v>
      </c>
      <c r="AG140" s="18" t="n">
        <f aca="false">COUNTIF($AF$3:$AF$219,AF140)</f>
        <v>0</v>
      </c>
      <c r="AI140" s="21"/>
    </row>
    <row r="141" s="20" customFormat="true" ht="24" hidden="false" customHeight="true" outlineLevel="0" collapsed="false">
      <c r="A141" s="20" t="s">
        <v>46</v>
      </c>
      <c r="B141" s="20" t="s">
        <v>46</v>
      </c>
      <c r="C141" s="19" t="s">
        <v>47</v>
      </c>
      <c r="D141" s="18" t="s">
        <v>52</v>
      </c>
      <c r="E141" s="18" t="s">
        <v>44</v>
      </c>
      <c r="F141" s="20" t="s">
        <v>52</v>
      </c>
      <c r="G141" s="19" t="s">
        <v>53</v>
      </c>
      <c r="H141" s="20" t="s">
        <v>48</v>
      </c>
      <c r="S141" s="20" t="s">
        <v>381</v>
      </c>
      <c r="T141" s="20" t="s">
        <v>381</v>
      </c>
      <c r="U141" s="19" t="s">
        <v>382</v>
      </c>
      <c r="V141" s="20" t="s">
        <v>383</v>
      </c>
      <c r="W141" s="19" t="s">
        <v>383</v>
      </c>
      <c r="X141" s="19" t="s">
        <v>75</v>
      </c>
      <c r="Y141" s="20" t="n">
        <v>0</v>
      </c>
      <c r="Z141" s="20" t="s">
        <v>76</v>
      </c>
      <c r="AD141" s="20" t="s">
        <v>77</v>
      </c>
      <c r="AE141" s="20" t="s">
        <v>78</v>
      </c>
      <c r="AG141" s="20" t="n">
        <f aca="false">COUNTIF($AF$3:$AF$219,AF141)</f>
        <v>0</v>
      </c>
      <c r="AI141" s="19"/>
    </row>
    <row r="142" s="20" customFormat="true" ht="24" hidden="false" customHeight="true" outlineLevel="0" collapsed="false">
      <c r="A142" s="20" t="s">
        <v>46</v>
      </c>
      <c r="B142" s="20" t="s">
        <v>46</v>
      </c>
      <c r="C142" s="19" t="s">
        <v>47</v>
      </c>
      <c r="D142" s="18" t="s">
        <v>52</v>
      </c>
      <c r="E142" s="18" t="s">
        <v>44</v>
      </c>
      <c r="F142" s="20" t="s">
        <v>52</v>
      </c>
      <c r="G142" s="19" t="s">
        <v>53</v>
      </c>
      <c r="H142" s="20" t="s">
        <v>48</v>
      </c>
      <c r="S142" s="20" t="s">
        <v>381</v>
      </c>
      <c r="T142" s="20" t="s">
        <v>381</v>
      </c>
      <c r="U142" s="19" t="s">
        <v>382</v>
      </c>
      <c r="V142" s="20" t="s">
        <v>171</v>
      </c>
      <c r="W142" s="20" t="s">
        <v>171</v>
      </c>
      <c r="X142" s="19" t="s">
        <v>384</v>
      </c>
      <c r="Y142" s="20" t="n">
        <v>1</v>
      </c>
      <c r="Z142" s="20" t="s">
        <v>76</v>
      </c>
      <c r="AD142" s="20" t="s">
        <v>77</v>
      </c>
      <c r="AF142" s="20" t="s">
        <v>385</v>
      </c>
      <c r="AG142" s="20" t="n">
        <f aca="false">COUNTIF($AF$3:$AF$219,AF142)</f>
        <v>1</v>
      </c>
      <c r="AH142" s="20" t="s">
        <v>386</v>
      </c>
      <c r="AI142" s="19"/>
      <c r="AJ142" s="20" t="s">
        <v>130</v>
      </c>
      <c r="AK142" s="20" t="s">
        <v>46</v>
      </c>
      <c r="AL142" s="23" t="s">
        <v>381</v>
      </c>
      <c r="AM142" s="20" t="s">
        <v>171</v>
      </c>
      <c r="AN142" s="20" t="s">
        <v>131</v>
      </c>
      <c r="AO142" s="20" t="s">
        <v>46</v>
      </c>
      <c r="AP142" s="23" t="s">
        <v>173</v>
      </c>
      <c r="AQ142" s="20" t="s">
        <v>171</v>
      </c>
      <c r="AR142" s="20" t="s">
        <v>131</v>
      </c>
    </row>
    <row r="143" s="20" customFormat="true" ht="24" hidden="false" customHeight="true" outlineLevel="0" collapsed="false">
      <c r="A143" s="20" t="s">
        <v>46</v>
      </c>
      <c r="B143" s="20" t="s">
        <v>46</v>
      </c>
      <c r="C143" s="19" t="s">
        <v>47</v>
      </c>
      <c r="D143" s="18" t="s">
        <v>52</v>
      </c>
      <c r="E143" s="18" t="s">
        <v>44</v>
      </c>
      <c r="F143" s="20" t="s">
        <v>52</v>
      </c>
      <c r="G143" s="19" t="s">
        <v>53</v>
      </c>
      <c r="H143" s="20" t="s">
        <v>48</v>
      </c>
      <c r="S143" s="20" t="s">
        <v>381</v>
      </c>
      <c r="T143" s="20" t="s">
        <v>381</v>
      </c>
      <c r="U143" s="19" t="s">
        <v>382</v>
      </c>
      <c r="V143" s="20" t="s">
        <v>126</v>
      </c>
      <c r="W143" s="19" t="s">
        <v>126</v>
      </c>
      <c r="X143" s="19" t="s">
        <v>387</v>
      </c>
      <c r="Y143" s="20" t="n">
        <v>2</v>
      </c>
      <c r="Z143" s="20" t="s">
        <v>76</v>
      </c>
      <c r="AD143" s="20" t="s">
        <v>77</v>
      </c>
      <c r="AF143" s="20" t="s">
        <v>388</v>
      </c>
      <c r="AG143" s="20" t="n">
        <f aca="false">COUNTIF($AF$3:$AF$219,AF143)</f>
        <v>1</v>
      </c>
      <c r="AH143" s="20" t="s">
        <v>389</v>
      </c>
      <c r="AI143" s="19"/>
      <c r="AJ143" s="20" t="s">
        <v>130</v>
      </c>
      <c r="AK143" s="20" t="s">
        <v>46</v>
      </c>
      <c r="AL143" s="23" t="s">
        <v>381</v>
      </c>
      <c r="AM143" s="20" t="s">
        <v>126</v>
      </c>
      <c r="AN143" s="20" t="s">
        <v>131</v>
      </c>
      <c r="AO143" s="20" t="s">
        <v>46</v>
      </c>
      <c r="AP143" s="23" t="s">
        <v>124</v>
      </c>
      <c r="AQ143" s="20" t="s">
        <v>126</v>
      </c>
      <c r="AR143" s="20" t="s">
        <v>131</v>
      </c>
    </row>
    <row r="144" s="20" customFormat="true" ht="24" hidden="false" customHeight="true" outlineLevel="0" collapsed="false">
      <c r="A144" s="20" t="s">
        <v>46</v>
      </c>
      <c r="B144" s="20" t="s">
        <v>46</v>
      </c>
      <c r="C144" s="19" t="s">
        <v>47</v>
      </c>
      <c r="D144" s="18" t="s">
        <v>52</v>
      </c>
      <c r="E144" s="18" t="s">
        <v>44</v>
      </c>
      <c r="F144" s="20" t="s">
        <v>52</v>
      </c>
      <c r="G144" s="19" t="s">
        <v>53</v>
      </c>
      <c r="H144" s="20" t="s">
        <v>48</v>
      </c>
      <c r="S144" s="20" t="s">
        <v>381</v>
      </c>
      <c r="T144" s="20" t="s">
        <v>381</v>
      </c>
      <c r="U144" s="19" t="s">
        <v>382</v>
      </c>
      <c r="V144" s="20" t="s">
        <v>390</v>
      </c>
      <c r="W144" s="19" t="s">
        <v>390</v>
      </c>
      <c r="X144" s="19" t="s">
        <v>391</v>
      </c>
      <c r="Y144" s="20" t="n">
        <v>3</v>
      </c>
      <c r="Z144" s="20" t="s">
        <v>81</v>
      </c>
      <c r="AB144" s="20" t="s">
        <v>392</v>
      </c>
      <c r="AD144" s="20" t="s">
        <v>77</v>
      </c>
      <c r="AG144" s="20" t="n">
        <f aca="false">COUNTIF($AF$3:$AF$219,AF144)</f>
        <v>0</v>
      </c>
      <c r="AI144" s="19"/>
    </row>
    <row r="145" s="20" customFormat="true" ht="24" hidden="false" customHeight="true" outlineLevel="0" collapsed="false">
      <c r="A145" s="20" t="s">
        <v>46</v>
      </c>
      <c r="B145" s="20" t="s">
        <v>46</v>
      </c>
      <c r="C145" s="19" t="s">
        <v>47</v>
      </c>
      <c r="D145" s="18" t="s">
        <v>52</v>
      </c>
      <c r="E145" s="18" t="s">
        <v>44</v>
      </c>
      <c r="F145" s="20" t="s">
        <v>52</v>
      </c>
      <c r="G145" s="19" t="s">
        <v>53</v>
      </c>
      <c r="H145" s="20" t="s">
        <v>48</v>
      </c>
      <c r="S145" s="20" t="s">
        <v>381</v>
      </c>
      <c r="T145" s="20" t="s">
        <v>381</v>
      </c>
      <c r="U145" s="19" t="s">
        <v>382</v>
      </c>
      <c r="V145" s="20" t="s">
        <v>393</v>
      </c>
      <c r="W145" s="19" t="s">
        <v>393</v>
      </c>
      <c r="X145" s="19" t="s">
        <v>394</v>
      </c>
      <c r="Y145" s="20" t="n">
        <v>4</v>
      </c>
      <c r="Z145" s="20" t="s">
        <v>81</v>
      </c>
      <c r="AB145" s="20" t="s">
        <v>395</v>
      </c>
      <c r="AD145" s="20" t="s">
        <v>78</v>
      </c>
      <c r="AG145" s="20" t="n">
        <f aca="false">COUNTIF($AF$3:$AF$219,AF145)</f>
        <v>0</v>
      </c>
      <c r="AI145" s="19"/>
    </row>
    <row r="146" s="17" customFormat="true" ht="24" hidden="false" customHeight="true" outlineLevel="0" collapsed="false">
      <c r="A146" s="17" t="s">
        <v>46</v>
      </c>
      <c r="B146" s="17" t="s">
        <v>46</v>
      </c>
      <c r="C146" s="3" t="s">
        <v>47</v>
      </c>
      <c r="D146" s="18" t="s">
        <v>52</v>
      </c>
      <c r="E146" s="18" t="s">
        <v>44</v>
      </c>
      <c r="F146" s="17" t="s">
        <v>52</v>
      </c>
      <c r="G146" s="3" t="s">
        <v>53</v>
      </c>
      <c r="H146" s="20" t="s">
        <v>48</v>
      </c>
      <c r="S146" s="17" t="s">
        <v>173</v>
      </c>
      <c r="T146" s="17" t="s">
        <v>173</v>
      </c>
      <c r="U146" s="3" t="s">
        <v>396</v>
      </c>
      <c r="V146" s="17" t="s">
        <v>171</v>
      </c>
      <c r="W146" s="3" t="s">
        <v>171</v>
      </c>
      <c r="X146" s="3" t="s">
        <v>75</v>
      </c>
      <c r="Y146" s="17" t="n">
        <v>0</v>
      </c>
      <c r="Z146" s="17" t="s">
        <v>76</v>
      </c>
      <c r="AD146" s="17" t="s">
        <v>77</v>
      </c>
      <c r="AE146" s="17" t="s">
        <v>78</v>
      </c>
      <c r="AG146" s="17" t="n">
        <f aca="false">COUNTIF($AF$3:$AF$219,AF146)</f>
        <v>0</v>
      </c>
      <c r="AI146" s="3"/>
    </row>
    <row r="147" s="17" customFormat="true" ht="24" hidden="false" customHeight="true" outlineLevel="0" collapsed="false">
      <c r="A147" s="17" t="s">
        <v>46</v>
      </c>
      <c r="B147" s="17" t="s">
        <v>46</v>
      </c>
      <c r="C147" s="3" t="s">
        <v>47</v>
      </c>
      <c r="D147" s="18" t="s">
        <v>52</v>
      </c>
      <c r="E147" s="18" t="s">
        <v>44</v>
      </c>
      <c r="F147" s="17" t="s">
        <v>52</v>
      </c>
      <c r="G147" s="3" t="s">
        <v>53</v>
      </c>
      <c r="H147" s="20" t="s">
        <v>48</v>
      </c>
      <c r="S147" s="17" t="s">
        <v>173</v>
      </c>
      <c r="T147" s="17" t="s">
        <v>173</v>
      </c>
      <c r="U147" s="3" t="s">
        <v>396</v>
      </c>
      <c r="V147" s="17" t="s">
        <v>273</v>
      </c>
      <c r="W147" s="3" t="s">
        <v>397</v>
      </c>
      <c r="X147" s="3" t="s">
        <v>398</v>
      </c>
      <c r="Y147" s="17" t="n">
        <v>1</v>
      </c>
      <c r="Z147" s="17" t="s">
        <v>76</v>
      </c>
      <c r="AD147" s="17" t="s">
        <v>77</v>
      </c>
      <c r="AF147" s="17" t="s">
        <v>399</v>
      </c>
      <c r="AG147" s="17" t="n">
        <f aca="false">COUNTIF($AF$3:$AF$219,AF147)</f>
        <v>1</v>
      </c>
      <c r="AH147" s="17" t="s">
        <v>400</v>
      </c>
      <c r="AI147" s="3" t="s">
        <v>401</v>
      </c>
      <c r="AJ147" s="17" t="s">
        <v>130</v>
      </c>
      <c r="AK147" s="17" t="s">
        <v>46</v>
      </c>
      <c r="AL147" s="4" t="s">
        <v>173</v>
      </c>
      <c r="AM147" s="17" t="s">
        <v>273</v>
      </c>
      <c r="AN147" s="17" t="s">
        <v>163</v>
      </c>
      <c r="AO147" s="17" t="s">
        <v>46</v>
      </c>
      <c r="AP147" s="4" t="s">
        <v>52</v>
      </c>
      <c r="AQ147" s="17" t="s">
        <v>273</v>
      </c>
      <c r="AR147" s="17" t="s">
        <v>131</v>
      </c>
    </row>
    <row r="148" s="17" customFormat="true" ht="24" hidden="false" customHeight="true" outlineLevel="0" collapsed="false">
      <c r="A148" s="17" t="s">
        <v>46</v>
      </c>
      <c r="B148" s="17" t="s">
        <v>46</v>
      </c>
      <c r="C148" s="3" t="s">
        <v>47</v>
      </c>
      <c r="D148" s="18" t="s">
        <v>52</v>
      </c>
      <c r="E148" s="18" t="s">
        <v>44</v>
      </c>
      <c r="F148" s="17" t="s">
        <v>52</v>
      </c>
      <c r="G148" s="3" t="s">
        <v>53</v>
      </c>
      <c r="H148" s="20" t="s">
        <v>48</v>
      </c>
      <c r="S148" s="17" t="s">
        <v>173</v>
      </c>
      <c r="T148" s="17" t="s">
        <v>173</v>
      </c>
      <c r="U148" s="3" t="s">
        <v>396</v>
      </c>
      <c r="V148" s="17" t="s">
        <v>178</v>
      </c>
      <c r="W148" s="3" t="s">
        <v>179</v>
      </c>
      <c r="X148" s="3" t="s">
        <v>402</v>
      </c>
      <c r="Y148" s="17" t="n">
        <v>2</v>
      </c>
      <c r="Z148" s="17" t="s">
        <v>76</v>
      </c>
      <c r="AD148" s="17" t="s">
        <v>77</v>
      </c>
      <c r="AF148" s="17" t="s">
        <v>403</v>
      </c>
      <c r="AG148" s="17" t="n">
        <f aca="false">COUNTIF($AF$3:$AF$219,AF148)</f>
        <v>1</v>
      </c>
      <c r="AH148" s="17" t="s">
        <v>404</v>
      </c>
      <c r="AI148" s="3" t="s">
        <v>405</v>
      </c>
      <c r="AJ148" s="17" t="s">
        <v>130</v>
      </c>
      <c r="AK148" s="17" t="s">
        <v>46</v>
      </c>
      <c r="AL148" s="4" t="s">
        <v>173</v>
      </c>
      <c r="AM148" s="17" t="s">
        <v>178</v>
      </c>
      <c r="AN148" s="17" t="s">
        <v>163</v>
      </c>
      <c r="AO148" s="17" t="s">
        <v>46</v>
      </c>
      <c r="AP148" s="4" t="s">
        <v>175</v>
      </c>
      <c r="AQ148" s="17" t="s">
        <v>178</v>
      </c>
      <c r="AR148" s="17" t="s">
        <v>131</v>
      </c>
    </row>
    <row r="149" s="17" customFormat="true" ht="24" hidden="false" customHeight="true" outlineLevel="0" collapsed="false">
      <c r="A149" s="17" t="s">
        <v>46</v>
      </c>
      <c r="B149" s="17" t="s">
        <v>46</v>
      </c>
      <c r="C149" s="3" t="s">
        <v>47</v>
      </c>
      <c r="D149" s="18" t="s">
        <v>52</v>
      </c>
      <c r="E149" s="18" t="s">
        <v>44</v>
      </c>
      <c r="F149" s="17" t="s">
        <v>52</v>
      </c>
      <c r="G149" s="3" t="s">
        <v>53</v>
      </c>
      <c r="H149" s="20" t="s">
        <v>48</v>
      </c>
      <c r="S149" s="17" t="s">
        <v>173</v>
      </c>
      <c r="T149" s="17" t="s">
        <v>173</v>
      </c>
      <c r="U149" s="3" t="s">
        <v>396</v>
      </c>
      <c r="V149" s="17" t="s">
        <v>158</v>
      </c>
      <c r="W149" s="17" t="s">
        <v>158</v>
      </c>
      <c r="X149" s="3" t="s">
        <v>159</v>
      </c>
      <c r="Y149" s="17" t="n">
        <v>3</v>
      </c>
      <c r="Z149" s="17" t="s">
        <v>76</v>
      </c>
      <c r="AD149" s="17" t="s">
        <v>77</v>
      </c>
      <c r="AF149" s="17" t="s">
        <v>161</v>
      </c>
      <c r="AG149" s="17" t="n">
        <f aca="false">COUNTIF($AF$3:$AF$219,AF149)</f>
        <v>1</v>
      </c>
      <c r="AH149" s="17" t="s">
        <v>161</v>
      </c>
      <c r="AI149" s="3" t="s">
        <v>162</v>
      </c>
      <c r="AJ149" s="17" t="s">
        <v>130</v>
      </c>
      <c r="AK149" s="17" t="s">
        <v>46</v>
      </c>
      <c r="AL149" s="4" t="s">
        <v>173</v>
      </c>
      <c r="AM149" s="17" t="s">
        <v>158</v>
      </c>
      <c r="AN149" s="17" t="s">
        <v>163</v>
      </c>
      <c r="AO149" s="17" t="s">
        <v>46</v>
      </c>
      <c r="AP149" s="4" t="s">
        <v>58</v>
      </c>
      <c r="AQ149" s="17" t="s">
        <v>158</v>
      </c>
      <c r="AR149" s="17" t="s">
        <v>131</v>
      </c>
    </row>
    <row r="150" s="17" customFormat="true" ht="24" hidden="false" customHeight="true" outlineLevel="0" collapsed="false">
      <c r="A150" s="17" t="s">
        <v>46</v>
      </c>
      <c r="B150" s="17" t="s">
        <v>46</v>
      </c>
      <c r="C150" s="3" t="s">
        <v>47</v>
      </c>
      <c r="D150" s="18" t="s">
        <v>52</v>
      </c>
      <c r="E150" s="18" t="s">
        <v>44</v>
      </c>
      <c r="F150" s="17" t="s">
        <v>52</v>
      </c>
      <c r="G150" s="3" t="s">
        <v>53</v>
      </c>
      <c r="H150" s="20" t="s">
        <v>48</v>
      </c>
      <c r="S150" s="17" t="s">
        <v>173</v>
      </c>
      <c r="T150" s="17" t="s">
        <v>173</v>
      </c>
      <c r="U150" s="3" t="s">
        <v>396</v>
      </c>
      <c r="V150" s="17" t="s">
        <v>406</v>
      </c>
      <c r="W150" s="3" t="s">
        <v>406</v>
      </c>
      <c r="X150" s="3" t="s">
        <v>407</v>
      </c>
      <c r="Y150" s="17" t="n">
        <v>4</v>
      </c>
      <c r="Z150" s="17" t="s">
        <v>81</v>
      </c>
      <c r="AB150" s="17" t="s">
        <v>408</v>
      </c>
      <c r="AD150" s="17" t="s">
        <v>78</v>
      </c>
      <c r="AG150" s="17" t="n">
        <f aca="false">COUNTIF($AF$3:$AF$219,AF150)</f>
        <v>0</v>
      </c>
      <c r="AI150" s="3"/>
    </row>
    <row r="151" s="17" customFormat="true" ht="24" hidden="false" customHeight="true" outlineLevel="0" collapsed="false">
      <c r="A151" s="17" t="s">
        <v>46</v>
      </c>
      <c r="B151" s="17" t="s">
        <v>46</v>
      </c>
      <c r="C151" s="3" t="s">
        <v>47</v>
      </c>
      <c r="D151" s="18" t="s">
        <v>52</v>
      </c>
      <c r="E151" s="18" t="s">
        <v>44</v>
      </c>
      <c r="F151" s="17" t="s">
        <v>52</v>
      </c>
      <c r="G151" s="3" t="s">
        <v>53</v>
      </c>
      <c r="H151" s="20" t="s">
        <v>48</v>
      </c>
      <c r="S151" s="17" t="s">
        <v>173</v>
      </c>
      <c r="T151" s="17" t="s">
        <v>173</v>
      </c>
      <c r="U151" s="3" t="s">
        <v>396</v>
      </c>
      <c r="V151" s="17" t="s">
        <v>409</v>
      </c>
      <c r="W151" s="3" t="s">
        <v>409</v>
      </c>
      <c r="X151" s="3" t="s">
        <v>410</v>
      </c>
      <c r="Y151" s="17" t="n">
        <v>5</v>
      </c>
      <c r="Z151" s="17" t="s">
        <v>81</v>
      </c>
      <c r="AB151" s="17" t="s">
        <v>411</v>
      </c>
      <c r="AD151" s="17" t="s">
        <v>77</v>
      </c>
      <c r="AG151" s="17" t="n">
        <f aca="false">COUNTIF($AF$3:$AF$219,AF151)</f>
        <v>0</v>
      </c>
      <c r="AI151" s="3"/>
    </row>
    <row r="152" s="17" customFormat="true" ht="24" hidden="false" customHeight="true" outlineLevel="0" collapsed="false">
      <c r="A152" s="17" t="s">
        <v>46</v>
      </c>
      <c r="B152" s="17" t="s">
        <v>46</v>
      </c>
      <c r="C152" s="3" t="s">
        <v>47</v>
      </c>
      <c r="D152" s="18" t="s">
        <v>52</v>
      </c>
      <c r="E152" s="18" t="s">
        <v>44</v>
      </c>
      <c r="F152" s="17" t="s">
        <v>52</v>
      </c>
      <c r="G152" s="3" t="s">
        <v>53</v>
      </c>
      <c r="H152" s="20" t="s">
        <v>48</v>
      </c>
      <c r="S152" s="17" t="s">
        <v>173</v>
      </c>
      <c r="T152" s="17" t="s">
        <v>173</v>
      </c>
      <c r="U152" s="3" t="s">
        <v>396</v>
      </c>
      <c r="V152" s="17" t="s">
        <v>412</v>
      </c>
      <c r="W152" s="3" t="s">
        <v>412</v>
      </c>
      <c r="X152" s="3" t="s">
        <v>413</v>
      </c>
      <c r="Y152" s="17" t="n">
        <v>6</v>
      </c>
      <c r="Z152" s="17" t="s">
        <v>81</v>
      </c>
      <c r="AB152" s="17" t="s">
        <v>414</v>
      </c>
      <c r="AD152" s="17" t="s">
        <v>78</v>
      </c>
      <c r="AG152" s="17" t="n">
        <f aca="false">COUNTIF($AF$3:$AF$219,AF152)</f>
        <v>0</v>
      </c>
      <c r="AI152" s="3"/>
    </row>
    <row r="153" s="17" customFormat="true" ht="24" hidden="false" customHeight="true" outlineLevel="0" collapsed="false">
      <c r="A153" s="17" t="s">
        <v>46</v>
      </c>
      <c r="B153" s="17" t="s">
        <v>46</v>
      </c>
      <c r="C153" s="3" t="s">
        <v>47</v>
      </c>
      <c r="D153" s="18" t="s">
        <v>52</v>
      </c>
      <c r="E153" s="18" t="s">
        <v>44</v>
      </c>
      <c r="F153" s="17" t="s">
        <v>52</v>
      </c>
      <c r="G153" s="3" t="s">
        <v>53</v>
      </c>
      <c r="H153" s="20" t="s">
        <v>48</v>
      </c>
      <c r="S153" s="17" t="s">
        <v>173</v>
      </c>
      <c r="T153" s="17" t="s">
        <v>173</v>
      </c>
      <c r="U153" s="3" t="s">
        <v>396</v>
      </c>
      <c r="V153" s="17" t="s">
        <v>415</v>
      </c>
      <c r="W153" s="3" t="s">
        <v>415</v>
      </c>
      <c r="X153" s="3" t="s">
        <v>416</v>
      </c>
      <c r="Y153" s="17" t="n">
        <v>7</v>
      </c>
      <c r="Z153" s="17" t="s">
        <v>81</v>
      </c>
      <c r="AB153" s="17" t="s">
        <v>417</v>
      </c>
      <c r="AD153" s="17" t="s">
        <v>78</v>
      </c>
      <c r="AG153" s="17" t="n">
        <f aca="false">COUNTIF($AF$3:$AF$219,AF153)</f>
        <v>0</v>
      </c>
      <c r="AI153" s="3"/>
    </row>
    <row r="154" s="17" customFormat="true" ht="24" hidden="false" customHeight="true" outlineLevel="0" collapsed="false">
      <c r="A154" s="17" t="s">
        <v>46</v>
      </c>
      <c r="B154" s="17" t="s">
        <v>46</v>
      </c>
      <c r="C154" s="3" t="s">
        <v>47</v>
      </c>
      <c r="D154" s="18" t="s">
        <v>52</v>
      </c>
      <c r="E154" s="18" t="s">
        <v>44</v>
      </c>
      <c r="F154" s="17" t="s">
        <v>52</v>
      </c>
      <c r="G154" s="3" t="s">
        <v>53</v>
      </c>
      <c r="H154" s="20" t="s">
        <v>48</v>
      </c>
      <c r="S154" s="17" t="s">
        <v>173</v>
      </c>
      <c r="T154" s="17" t="s">
        <v>173</v>
      </c>
      <c r="U154" s="3" t="s">
        <v>396</v>
      </c>
      <c r="V154" s="17" t="s">
        <v>418</v>
      </c>
      <c r="W154" s="3" t="s">
        <v>418</v>
      </c>
      <c r="X154" s="3" t="s">
        <v>419</v>
      </c>
      <c r="Y154" s="17" t="n">
        <v>8</v>
      </c>
      <c r="Z154" s="17" t="s">
        <v>81</v>
      </c>
      <c r="AB154" s="17" t="s">
        <v>420</v>
      </c>
      <c r="AD154" s="17" t="s">
        <v>78</v>
      </c>
      <c r="AG154" s="17" t="n">
        <f aca="false">COUNTIF($AF$3:$AF$219,AF154)</f>
        <v>0</v>
      </c>
      <c r="AI154" s="3"/>
    </row>
    <row r="155" s="17" customFormat="true" ht="24" hidden="false" customHeight="true" outlineLevel="0" collapsed="false">
      <c r="A155" s="17" t="s">
        <v>46</v>
      </c>
      <c r="B155" s="17" t="s">
        <v>46</v>
      </c>
      <c r="C155" s="3" t="s">
        <v>47</v>
      </c>
      <c r="D155" s="18" t="s">
        <v>52</v>
      </c>
      <c r="E155" s="18" t="s">
        <v>44</v>
      </c>
      <c r="F155" s="17" t="s">
        <v>52</v>
      </c>
      <c r="G155" s="3" t="s">
        <v>53</v>
      </c>
      <c r="H155" s="20" t="s">
        <v>48</v>
      </c>
      <c r="S155" s="17" t="s">
        <v>173</v>
      </c>
      <c r="T155" s="17" t="s">
        <v>173</v>
      </c>
      <c r="U155" s="3" t="s">
        <v>396</v>
      </c>
      <c r="V155" s="17" t="s">
        <v>421</v>
      </c>
      <c r="W155" s="3" t="s">
        <v>421</v>
      </c>
      <c r="X155" s="3" t="s">
        <v>422</v>
      </c>
      <c r="Y155" s="17" t="n">
        <v>9</v>
      </c>
      <c r="Z155" s="17" t="s">
        <v>81</v>
      </c>
      <c r="AD155" s="17" t="s">
        <v>77</v>
      </c>
      <c r="AG155" s="17" t="n">
        <f aca="false">COUNTIF($AF$3:$AF$219,AF155)</f>
        <v>0</v>
      </c>
      <c r="AI155" s="3"/>
    </row>
    <row r="156" s="17" customFormat="true" ht="24" hidden="false" customHeight="true" outlineLevel="0" collapsed="false">
      <c r="A156" s="17" t="s">
        <v>46</v>
      </c>
      <c r="B156" s="17" t="s">
        <v>46</v>
      </c>
      <c r="C156" s="3" t="s">
        <v>47</v>
      </c>
      <c r="D156" s="18" t="s">
        <v>52</v>
      </c>
      <c r="E156" s="18" t="s">
        <v>44</v>
      </c>
      <c r="F156" s="17" t="s">
        <v>52</v>
      </c>
      <c r="G156" s="3" t="s">
        <v>53</v>
      </c>
      <c r="H156" s="20" t="s">
        <v>48</v>
      </c>
      <c r="S156" s="17" t="s">
        <v>173</v>
      </c>
      <c r="T156" s="17" t="s">
        <v>173</v>
      </c>
      <c r="U156" s="3" t="s">
        <v>396</v>
      </c>
      <c r="V156" s="17" t="s">
        <v>423</v>
      </c>
      <c r="W156" s="3" t="s">
        <v>423</v>
      </c>
      <c r="X156" s="3" t="s">
        <v>424</v>
      </c>
      <c r="Y156" s="17" t="n">
        <v>10</v>
      </c>
      <c r="Z156" s="17" t="s">
        <v>81</v>
      </c>
      <c r="AB156" s="17" t="s">
        <v>425</v>
      </c>
      <c r="AD156" s="17" t="s">
        <v>78</v>
      </c>
      <c r="AG156" s="17" t="n">
        <f aca="false">COUNTIF($AF$3:$AF$219,AF156)</f>
        <v>0</v>
      </c>
      <c r="AI156" s="3"/>
    </row>
    <row r="157" s="17" customFormat="true" ht="24" hidden="false" customHeight="true" outlineLevel="0" collapsed="false">
      <c r="A157" s="17" t="s">
        <v>46</v>
      </c>
      <c r="B157" s="17" t="s">
        <v>46</v>
      </c>
      <c r="C157" s="3" t="s">
        <v>47</v>
      </c>
      <c r="D157" s="18" t="s">
        <v>52</v>
      </c>
      <c r="E157" s="18" t="s">
        <v>44</v>
      </c>
      <c r="F157" s="17" t="s">
        <v>52</v>
      </c>
      <c r="G157" s="3" t="s">
        <v>53</v>
      </c>
      <c r="H157" s="20" t="s">
        <v>48</v>
      </c>
      <c r="S157" s="17" t="s">
        <v>173</v>
      </c>
      <c r="T157" s="17" t="s">
        <v>173</v>
      </c>
      <c r="U157" s="3" t="s">
        <v>396</v>
      </c>
      <c r="V157" s="17" t="s">
        <v>426</v>
      </c>
      <c r="W157" s="3" t="s">
        <v>426</v>
      </c>
      <c r="X157" s="3" t="s">
        <v>427</v>
      </c>
      <c r="Y157" s="17" t="n">
        <v>11</v>
      </c>
      <c r="Z157" s="17" t="s">
        <v>81</v>
      </c>
      <c r="AB157" s="17" t="s">
        <v>428</v>
      </c>
      <c r="AD157" s="17" t="s">
        <v>78</v>
      </c>
      <c r="AG157" s="17" t="n">
        <f aca="false">COUNTIF($AF$3:$AF$219,AF157)</f>
        <v>0</v>
      </c>
      <c r="AI157" s="3"/>
    </row>
    <row r="158" s="17" customFormat="true" ht="24" hidden="false" customHeight="true" outlineLevel="0" collapsed="false">
      <c r="A158" s="17" t="s">
        <v>46</v>
      </c>
      <c r="B158" s="17" t="s">
        <v>46</v>
      </c>
      <c r="C158" s="3" t="s">
        <v>47</v>
      </c>
      <c r="D158" s="18" t="s">
        <v>52</v>
      </c>
      <c r="E158" s="18" t="s">
        <v>44</v>
      </c>
      <c r="F158" s="17" t="s">
        <v>52</v>
      </c>
      <c r="G158" s="3" t="s">
        <v>53</v>
      </c>
      <c r="H158" s="20" t="s">
        <v>48</v>
      </c>
      <c r="S158" s="17" t="s">
        <v>173</v>
      </c>
      <c r="T158" s="17" t="s">
        <v>173</v>
      </c>
      <c r="U158" s="3" t="s">
        <v>396</v>
      </c>
      <c r="V158" s="17" t="s">
        <v>429</v>
      </c>
      <c r="W158" s="3" t="s">
        <v>429</v>
      </c>
      <c r="X158" s="3" t="s">
        <v>430</v>
      </c>
      <c r="Y158" s="17" t="n">
        <v>12</v>
      </c>
      <c r="Z158" s="17" t="s">
        <v>81</v>
      </c>
      <c r="AB158" s="17" t="s">
        <v>431</v>
      </c>
      <c r="AD158" s="17" t="s">
        <v>78</v>
      </c>
      <c r="AG158" s="17" t="n">
        <f aca="false">COUNTIF($AF$3:$AF$219,AF158)</f>
        <v>0</v>
      </c>
      <c r="AI158" s="3"/>
    </row>
    <row r="159" s="17" customFormat="true" ht="24" hidden="false" customHeight="true" outlineLevel="0" collapsed="false">
      <c r="A159" s="17" t="s">
        <v>46</v>
      </c>
      <c r="B159" s="17" t="s">
        <v>46</v>
      </c>
      <c r="C159" s="3" t="s">
        <v>47</v>
      </c>
      <c r="D159" s="18" t="s">
        <v>52</v>
      </c>
      <c r="E159" s="18" t="s">
        <v>44</v>
      </c>
      <c r="F159" s="17" t="s">
        <v>52</v>
      </c>
      <c r="G159" s="3" t="s">
        <v>53</v>
      </c>
      <c r="H159" s="20" t="s">
        <v>48</v>
      </c>
      <c r="S159" s="17" t="s">
        <v>173</v>
      </c>
      <c r="T159" s="17" t="s">
        <v>173</v>
      </c>
      <c r="U159" s="3" t="s">
        <v>396</v>
      </c>
      <c r="V159" s="17" t="s">
        <v>432</v>
      </c>
      <c r="W159" s="3" t="s">
        <v>432</v>
      </c>
      <c r="X159" s="3" t="s">
        <v>433</v>
      </c>
      <c r="Y159" s="17" t="n">
        <v>13</v>
      </c>
      <c r="Z159" s="17" t="s">
        <v>81</v>
      </c>
      <c r="AB159" s="17" t="s">
        <v>434</v>
      </c>
      <c r="AD159" s="17" t="s">
        <v>78</v>
      </c>
      <c r="AG159" s="17" t="n">
        <f aca="false">COUNTIF($AF$3:$AF$219,AF159)</f>
        <v>0</v>
      </c>
      <c r="AI159" s="3"/>
    </row>
    <row r="160" s="17" customFormat="true" ht="24" hidden="false" customHeight="true" outlineLevel="0" collapsed="false">
      <c r="A160" s="17" t="s">
        <v>46</v>
      </c>
      <c r="B160" s="17" t="s">
        <v>46</v>
      </c>
      <c r="C160" s="3" t="s">
        <v>47</v>
      </c>
      <c r="D160" s="18" t="s">
        <v>52</v>
      </c>
      <c r="E160" s="18" t="s">
        <v>44</v>
      </c>
      <c r="F160" s="17" t="s">
        <v>52</v>
      </c>
      <c r="G160" s="3" t="s">
        <v>53</v>
      </c>
      <c r="H160" s="20" t="s">
        <v>48</v>
      </c>
      <c r="S160" s="17" t="s">
        <v>173</v>
      </c>
      <c r="T160" s="17" t="s">
        <v>173</v>
      </c>
      <c r="U160" s="3" t="s">
        <v>396</v>
      </c>
      <c r="V160" s="17" t="s">
        <v>435</v>
      </c>
      <c r="W160" s="3" t="s">
        <v>435</v>
      </c>
      <c r="X160" s="3" t="s">
        <v>436</v>
      </c>
      <c r="Y160" s="17" t="n">
        <v>14</v>
      </c>
      <c r="Z160" s="17" t="s">
        <v>81</v>
      </c>
      <c r="AB160" s="17" t="s">
        <v>437</v>
      </c>
      <c r="AD160" s="17" t="s">
        <v>78</v>
      </c>
      <c r="AG160" s="17" t="n">
        <f aca="false">COUNTIF($AF$3:$AF$219,AF160)</f>
        <v>0</v>
      </c>
      <c r="AI160" s="3"/>
    </row>
    <row r="161" s="17" customFormat="true" ht="24" hidden="false" customHeight="true" outlineLevel="0" collapsed="false">
      <c r="A161" s="17" t="s">
        <v>46</v>
      </c>
      <c r="B161" s="17" t="s">
        <v>46</v>
      </c>
      <c r="C161" s="3" t="s">
        <v>47</v>
      </c>
      <c r="D161" s="18" t="s">
        <v>52</v>
      </c>
      <c r="E161" s="18" t="s">
        <v>44</v>
      </c>
      <c r="F161" s="17" t="s">
        <v>52</v>
      </c>
      <c r="G161" s="3" t="s">
        <v>53</v>
      </c>
      <c r="H161" s="20" t="s">
        <v>48</v>
      </c>
      <c r="S161" s="17" t="s">
        <v>173</v>
      </c>
      <c r="T161" s="17" t="s">
        <v>173</v>
      </c>
      <c r="U161" s="3" t="s">
        <v>396</v>
      </c>
      <c r="V161" s="17" t="s">
        <v>438</v>
      </c>
      <c r="W161" s="3" t="s">
        <v>438</v>
      </c>
      <c r="X161" s="3" t="s">
        <v>439</v>
      </c>
      <c r="Y161" s="17" t="n">
        <v>15</v>
      </c>
      <c r="Z161" s="17" t="s">
        <v>81</v>
      </c>
      <c r="AB161" s="17" t="s">
        <v>440</v>
      </c>
      <c r="AD161" s="17" t="s">
        <v>78</v>
      </c>
      <c r="AG161" s="17" t="n">
        <f aca="false">COUNTIF($AF$3:$AF$219,AF161)</f>
        <v>0</v>
      </c>
      <c r="AI161" s="3"/>
    </row>
    <row r="162" s="17" customFormat="true" ht="24" hidden="false" customHeight="true" outlineLevel="0" collapsed="false">
      <c r="A162" s="17" t="s">
        <v>46</v>
      </c>
      <c r="B162" s="17" t="s">
        <v>46</v>
      </c>
      <c r="C162" s="3" t="s">
        <v>47</v>
      </c>
      <c r="D162" s="18" t="s">
        <v>52</v>
      </c>
      <c r="E162" s="18" t="s">
        <v>44</v>
      </c>
      <c r="F162" s="17" t="s">
        <v>52</v>
      </c>
      <c r="G162" s="3" t="s">
        <v>53</v>
      </c>
      <c r="H162" s="20" t="s">
        <v>48</v>
      </c>
      <c r="S162" s="17" t="s">
        <v>173</v>
      </c>
      <c r="T162" s="17" t="s">
        <v>173</v>
      </c>
      <c r="U162" s="3" t="s">
        <v>396</v>
      </c>
      <c r="V162" s="17" t="s">
        <v>441</v>
      </c>
      <c r="W162" s="3" t="s">
        <v>441</v>
      </c>
      <c r="X162" s="3" t="s">
        <v>442</v>
      </c>
      <c r="Y162" s="17" t="n">
        <v>16</v>
      </c>
      <c r="Z162" s="17" t="s">
        <v>81</v>
      </c>
      <c r="AB162" s="17" t="s">
        <v>443</v>
      </c>
      <c r="AD162" s="17" t="s">
        <v>78</v>
      </c>
      <c r="AG162" s="17" t="n">
        <f aca="false">COUNTIF($AF$3:$AF$219,AF162)</f>
        <v>0</v>
      </c>
      <c r="AI162" s="3"/>
    </row>
    <row r="163" s="17" customFormat="true" ht="24" hidden="false" customHeight="true" outlineLevel="0" collapsed="false">
      <c r="A163" s="17" t="s">
        <v>46</v>
      </c>
      <c r="B163" s="17" t="s">
        <v>46</v>
      </c>
      <c r="C163" s="3" t="s">
        <v>47</v>
      </c>
      <c r="D163" s="18" t="s">
        <v>52</v>
      </c>
      <c r="E163" s="18" t="s">
        <v>44</v>
      </c>
      <c r="F163" s="17" t="s">
        <v>52</v>
      </c>
      <c r="G163" s="3" t="s">
        <v>53</v>
      </c>
      <c r="H163" s="20" t="s">
        <v>48</v>
      </c>
      <c r="S163" s="17" t="s">
        <v>173</v>
      </c>
      <c r="T163" s="17" t="s">
        <v>173</v>
      </c>
      <c r="U163" s="3" t="s">
        <v>396</v>
      </c>
      <c r="V163" s="17" t="s">
        <v>444</v>
      </c>
      <c r="W163" s="3" t="s">
        <v>444</v>
      </c>
      <c r="X163" s="3" t="s">
        <v>445</v>
      </c>
      <c r="Y163" s="17" t="n">
        <v>17</v>
      </c>
      <c r="Z163" s="17" t="s">
        <v>81</v>
      </c>
      <c r="AB163" s="17" t="s">
        <v>446</v>
      </c>
      <c r="AD163" s="17" t="s">
        <v>77</v>
      </c>
      <c r="AG163" s="17" t="n">
        <f aca="false">COUNTIF($AF$3:$AF$219,AF163)</f>
        <v>0</v>
      </c>
      <c r="AI163" s="3"/>
    </row>
    <row r="164" s="17" customFormat="true" ht="24" hidden="false" customHeight="true" outlineLevel="0" collapsed="false">
      <c r="A164" s="17" t="s">
        <v>46</v>
      </c>
      <c r="B164" s="17" t="s">
        <v>46</v>
      </c>
      <c r="C164" s="3" t="s">
        <v>47</v>
      </c>
      <c r="D164" s="18" t="s">
        <v>52</v>
      </c>
      <c r="E164" s="18" t="s">
        <v>44</v>
      </c>
      <c r="F164" s="17" t="s">
        <v>52</v>
      </c>
      <c r="G164" s="3" t="s">
        <v>53</v>
      </c>
      <c r="H164" s="20" t="s">
        <v>48</v>
      </c>
      <c r="S164" s="17" t="s">
        <v>173</v>
      </c>
      <c r="T164" s="17" t="s">
        <v>173</v>
      </c>
      <c r="U164" s="3" t="s">
        <v>396</v>
      </c>
      <c r="V164" s="17" t="s">
        <v>447</v>
      </c>
      <c r="W164" s="3" t="s">
        <v>448</v>
      </c>
      <c r="X164" s="3" t="s">
        <v>449</v>
      </c>
      <c r="Y164" s="17" t="n">
        <v>18</v>
      </c>
      <c r="Z164" s="17" t="s">
        <v>81</v>
      </c>
      <c r="AB164" s="17" t="s">
        <v>450</v>
      </c>
      <c r="AD164" s="17" t="s">
        <v>78</v>
      </c>
      <c r="AG164" s="17" t="n">
        <f aca="false">COUNTIF($AF$3:$AF$219,AF164)</f>
        <v>0</v>
      </c>
      <c r="AI164" s="3"/>
    </row>
    <row r="165" s="17" customFormat="true" ht="24" hidden="false" customHeight="true" outlineLevel="0" collapsed="false">
      <c r="A165" s="17" t="s">
        <v>46</v>
      </c>
      <c r="B165" s="17" t="s">
        <v>46</v>
      </c>
      <c r="C165" s="3" t="s">
        <v>47</v>
      </c>
      <c r="D165" s="18" t="s">
        <v>52</v>
      </c>
      <c r="E165" s="18" t="s">
        <v>44</v>
      </c>
      <c r="F165" s="17" t="s">
        <v>52</v>
      </c>
      <c r="G165" s="3" t="s">
        <v>53</v>
      </c>
      <c r="H165" s="20" t="s">
        <v>48</v>
      </c>
      <c r="S165" s="17" t="s">
        <v>173</v>
      </c>
      <c r="T165" s="17" t="s">
        <v>173</v>
      </c>
      <c r="U165" s="3" t="s">
        <v>396</v>
      </c>
      <c r="V165" s="17" t="s">
        <v>451</v>
      </c>
      <c r="W165" s="3" t="s">
        <v>451</v>
      </c>
      <c r="X165" s="3" t="s">
        <v>452</v>
      </c>
      <c r="Y165" s="17" t="n">
        <v>19</v>
      </c>
      <c r="Z165" s="17" t="s">
        <v>165</v>
      </c>
      <c r="AB165" s="17" t="s">
        <v>453</v>
      </c>
      <c r="AD165" s="17" t="s">
        <v>78</v>
      </c>
      <c r="AG165" s="17" t="n">
        <f aca="false">COUNTIF($AF$3:$AF$219,AF165)</f>
        <v>0</v>
      </c>
      <c r="AI165" s="3"/>
    </row>
    <row r="166" s="17" customFormat="true" ht="24" hidden="false" customHeight="true" outlineLevel="0" collapsed="false">
      <c r="A166" s="17" t="s">
        <v>46</v>
      </c>
      <c r="B166" s="17" t="s">
        <v>46</v>
      </c>
      <c r="C166" s="3" t="s">
        <v>47</v>
      </c>
      <c r="D166" s="18" t="s">
        <v>52</v>
      </c>
      <c r="E166" s="18" t="s">
        <v>44</v>
      </c>
      <c r="F166" s="17" t="s">
        <v>52</v>
      </c>
      <c r="G166" s="3" t="s">
        <v>53</v>
      </c>
      <c r="H166" s="20" t="s">
        <v>48</v>
      </c>
      <c r="S166" s="17" t="s">
        <v>173</v>
      </c>
      <c r="T166" s="17" t="s">
        <v>173</v>
      </c>
      <c r="U166" s="3" t="s">
        <v>396</v>
      </c>
      <c r="V166" s="17" t="s">
        <v>454</v>
      </c>
      <c r="W166" s="3" t="s">
        <v>454</v>
      </c>
      <c r="X166" s="3" t="s">
        <v>455</v>
      </c>
      <c r="Y166" s="17" t="n">
        <v>20</v>
      </c>
      <c r="Z166" s="17" t="s">
        <v>194</v>
      </c>
      <c r="AB166" s="17" t="s">
        <v>456</v>
      </c>
      <c r="AD166" s="17" t="s">
        <v>78</v>
      </c>
      <c r="AG166" s="17" t="n">
        <f aca="false">COUNTIF($AF$3:$AF$219,AF166)</f>
        <v>0</v>
      </c>
      <c r="AI166" s="3"/>
    </row>
    <row r="167" s="17" customFormat="true" ht="24" hidden="false" customHeight="true" outlineLevel="0" collapsed="false">
      <c r="A167" s="17" t="s">
        <v>46</v>
      </c>
      <c r="B167" s="17" t="s">
        <v>46</v>
      </c>
      <c r="C167" s="3" t="s">
        <v>47</v>
      </c>
      <c r="D167" s="18" t="s">
        <v>52</v>
      </c>
      <c r="E167" s="18" t="s">
        <v>44</v>
      </c>
      <c r="F167" s="17" t="s">
        <v>52</v>
      </c>
      <c r="G167" s="3" t="s">
        <v>53</v>
      </c>
      <c r="H167" s="20" t="s">
        <v>48</v>
      </c>
      <c r="S167" s="17" t="s">
        <v>173</v>
      </c>
      <c r="T167" s="17" t="s">
        <v>173</v>
      </c>
      <c r="U167" s="3" t="s">
        <v>396</v>
      </c>
      <c r="V167" s="17" t="s">
        <v>457</v>
      </c>
      <c r="W167" s="3" t="s">
        <v>457</v>
      </c>
      <c r="X167" s="3" t="s">
        <v>458</v>
      </c>
      <c r="Y167" s="17" t="n">
        <v>21</v>
      </c>
      <c r="Z167" s="17" t="s">
        <v>308</v>
      </c>
      <c r="AB167" s="17" t="s">
        <v>459</v>
      </c>
      <c r="AD167" s="17" t="s">
        <v>77</v>
      </c>
      <c r="AG167" s="17" t="n">
        <f aca="false">COUNTIF($AF$3:$AF$219,AF167)</f>
        <v>0</v>
      </c>
      <c r="AI167" s="3"/>
    </row>
    <row r="168" s="17" customFormat="true" ht="24" hidden="false" customHeight="true" outlineLevel="0" collapsed="false">
      <c r="A168" s="17" t="s">
        <v>46</v>
      </c>
      <c r="B168" s="17" t="s">
        <v>46</v>
      </c>
      <c r="C168" s="3" t="s">
        <v>47</v>
      </c>
      <c r="D168" s="18" t="s">
        <v>52</v>
      </c>
      <c r="E168" s="18" t="s">
        <v>44</v>
      </c>
      <c r="F168" s="17" t="s">
        <v>52</v>
      </c>
      <c r="G168" s="3" t="s">
        <v>53</v>
      </c>
      <c r="H168" s="20" t="s">
        <v>48</v>
      </c>
      <c r="S168" s="17" t="s">
        <v>173</v>
      </c>
      <c r="T168" s="17" t="s">
        <v>173</v>
      </c>
      <c r="U168" s="3" t="s">
        <v>396</v>
      </c>
      <c r="V168" s="17" t="s">
        <v>460</v>
      </c>
      <c r="W168" s="3" t="s">
        <v>460</v>
      </c>
      <c r="X168" s="3" t="s">
        <v>461</v>
      </c>
      <c r="Y168" s="17" t="n">
        <v>22</v>
      </c>
      <c r="Z168" s="17" t="s">
        <v>81</v>
      </c>
      <c r="AB168" s="17" t="s">
        <v>459</v>
      </c>
      <c r="AD168" s="17" t="s">
        <v>77</v>
      </c>
      <c r="AG168" s="17" t="n">
        <f aca="false">COUNTIF($AF$3:$AF$219,AF168)</f>
        <v>0</v>
      </c>
      <c r="AI168" s="3"/>
    </row>
    <row r="169" s="17" customFormat="true" ht="24" hidden="false" customHeight="true" outlineLevel="0" collapsed="false">
      <c r="A169" s="17" t="s">
        <v>46</v>
      </c>
      <c r="B169" s="17" t="s">
        <v>46</v>
      </c>
      <c r="C169" s="3" t="s">
        <v>47</v>
      </c>
      <c r="D169" s="18" t="s">
        <v>52</v>
      </c>
      <c r="E169" s="18" t="s">
        <v>44</v>
      </c>
      <c r="F169" s="17" t="s">
        <v>52</v>
      </c>
      <c r="G169" s="3" t="s">
        <v>53</v>
      </c>
      <c r="H169" s="20" t="s">
        <v>48</v>
      </c>
      <c r="S169" s="17" t="s">
        <v>173</v>
      </c>
      <c r="T169" s="17" t="s">
        <v>173</v>
      </c>
      <c r="U169" s="3" t="s">
        <v>396</v>
      </c>
      <c r="V169" s="17" t="s">
        <v>462</v>
      </c>
      <c r="W169" s="3" t="s">
        <v>462</v>
      </c>
      <c r="X169" s="3" t="s">
        <v>463</v>
      </c>
      <c r="Y169" s="17" t="n">
        <v>23</v>
      </c>
      <c r="Z169" s="17" t="s">
        <v>142</v>
      </c>
      <c r="AB169" s="17" t="s">
        <v>464</v>
      </c>
      <c r="AD169" s="17" t="s">
        <v>78</v>
      </c>
      <c r="AG169" s="17" t="n">
        <f aca="false">COUNTIF($AF$3:$AF$219,AF169)</f>
        <v>0</v>
      </c>
      <c r="AI169" s="3"/>
    </row>
    <row r="170" s="17" customFormat="true" ht="24" hidden="false" customHeight="true" outlineLevel="0" collapsed="false">
      <c r="A170" s="17" t="s">
        <v>46</v>
      </c>
      <c r="B170" s="17" t="s">
        <v>46</v>
      </c>
      <c r="C170" s="3" t="s">
        <v>47</v>
      </c>
      <c r="D170" s="18" t="s">
        <v>52</v>
      </c>
      <c r="E170" s="18" t="s">
        <v>44</v>
      </c>
      <c r="F170" s="17" t="s">
        <v>52</v>
      </c>
      <c r="G170" s="3" t="s">
        <v>53</v>
      </c>
      <c r="H170" s="20" t="s">
        <v>48</v>
      </c>
      <c r="S170" s="17" t="s">
        <v>173</v>
      </c>
      <c r="T170" s="17" t="s">
        <v>173</v>
      </c>
      <c r="U170" s="3" t="s">
        <v>396</v>
      </c>
      <c r="V170" s="17" t="s">
        <v>465</v>
      </c>
      <c r="W170" s="3" t="s">
        <v>465</v>
      </c>
      <c r="X170" s="3" t="s">
        <v>466</v>
      </c>
      <c r="Y170" s="17" t="n">
        <v>24</v>
      </c>
      <c r="Z170" s="17" t="s">
        <v>81</v>
      </c>
      <c r="AB170" s="17" t="s">
        <v>467</v>
      </c>
      <c r="AD170" s="17" t="s">
        <v>78</v>
      </c>
      <c r="AG170" s="17" t="n">
        <f aca="false">COUNTIF($AF$3:$AF$219,AF170)</f>
        <v>0</v>
      </c>
      <c r="AI170" s="3"/>
    </row>
    <row r="171" s="17" customFormat="true" ht="24" hidden="false" customHeight="true" outlineLevel="0" collapsed="false">
      <c r="A171" s="17" t="s">
        <v>46</v>
      </c>
      <c r="B171" s="17" t="s">
        <v>46</v>
      </c>
      <c r="C171" s="3" t="s">
        <v>47</v>
      </c>
      <c r="D171" s="18" t="s">
        <v>52</v>
      </c>
      <c r="E171" s="18" t="s">
        <v>44</v>
      </c>
      <c r="F171" s="17" t="s">
        <v>52</v>
      </c>
      <c r="G171" s="3" t="s">
        <v>53</v>
      </c>
      <c r="H171" s="20" t="s">
        <v>48</v>
      </c>
      <c r="S171" s="17" t="s">
        <v>173</v>
      </c>
      <c r="T171" s="17" t="s">
        <v>173</v>
      </c>
      <c r="U171" s="3" t="s">
        <v>396</v>
      </c>
      <c r="V171" s="17" t="s">
        <v>468</v>
      </c>
      <c r="W171" s="3" t="s">
        <v>468</v>
      </c>
      <c r="X171" s="3" t="s">
        <v>469</v>
      </c>
      <c r="Y171" s="17" t="n">
        <v>25</v>
      </c>
      <c r="Z171" s="17" t="s">
        <v>165</v>
      </c>
      <c r="AB171" s="17" t="s">
        <v>470</v>
      </c>
      <c r="AD171" s="17" t="s">
        <v>78</v>
      </c>
      <c r="AG171" s="17" t="n">
        <f aca="false">COUNTIF($AF$3:$AF$219,AF171)</f>
        <v>0</v>
      </c>
      <c r="AI171" s="3"/>
    </row>
    <row r="172" s="17" customFormat="true" ht="24" hidden="false" customHeight="true" outlineLevel="0" collapsed="false">
      <c r="A172" s="17" t="s">
        <v>46</v>
      </c>
      <c r="B172" s="17" t="s">
        <v>46</v>
      </c>
      <c r="C172" s="3" t="s">
        <v>47</v>
      </c>
      <c r="D172" s="18" t="s">
        <v>52</v>
      </c>
      <c r="E172" s="18" t="s">
        <v>44</v>
      </c>
      <c r="F172" s="17" t="s">
        <v>52</v>
      </c>
      <c r="G172" s="3" t="s">
        <v>53</v>
      </c>
      <c r="H172" s="20" t="s">
        <v>48</v>
      </c>
      <c r="S172" s="17" t="s">
        <v>173</v>
      </c>
      <c r="T172" s="17" t="s">
        <v>173</v>
      </c>
      <c r="U172" s="3" t="s">
        <v>396</v>
      </c>
      <c r="V172" s="17" t="s">
        <v>471</v>
      </c>
      <c r="W172" s="3" t="s">
        <v>471</v>
      </c>
      <c r="X172" s="3" t="s">
        <v>472</v>
      </c>
      <c r="Y172" s="17" t="n">
        <v>26</v>
      </c>
      <c r="Z172" s="17" t="s">
        <v>165</v>
      </c>
      <c r="AB172" s="17" t="s">
        <v>473</v>
      </c>
      <c r="AD172" s="17" t="s">
        <v>78</v>
      </c>
      <c r="AG172" s="17" t="n">
        <f aca="false">COUNTIF($AF$3:$AF$219,AF172)</f>
        <v>0</v>
      </c>
      <c r="AI172" s="3"/>
    </row>
    <row r="173" s="17" customFormat="true" ht="24" hidden="false" customHeight="true" outlineLevel="0" collapsed="false">
      <c r="A173" s="17" t="s">
        <v>46</v>
      </c>
      <c r="B173" s="17" t="s">
        <v>46</v>
      </c>
      <c r="C173" s="3" t="s">
        <v>47</v>
      </c>
      <c r="D173" s="18" t="s">
        <v>52</v>
      </c>
      <c r="E173" s="18" t="s">
        <v>44</v>
      </c>
      <c r="F173" s="17" t="s">
        <v>52</v>
      </c>
      <c r="G173" s="3" t="s">
        <v>53</v>
      </c>
      <c r="H173" s="20" t="s">
        <v>48</v>
      </c>
      <c r="L173" s="17" t="s">
        <v>474</v>
      </c>
      <c r="S173" s="17" t="s">
        <v>173</v>
      </c>
      <c r="T173" s="17" t="s">
        <v>173</v>
      </c>
      <c r="U173" s="3" t="s">
        <v>396</v>
      </c>
      <c r="V173" s="17" t="s">
        <v>475</v>
      </c>
      <c r="W173" s="3" t="s">
        <v>475</v>
      </c>
      <c r="X173" s="3" t="s">
        <v>476</v>
      </c>
      <c r="Y173" s="17" t="n">
        <v>27</v>
      </c>
      <c r="Z173" s="17" t="s">
        <v>165</v>
      </c>
      <c r="AB173" s="17" t="s">
        <v>477</v>
      </c>
      <c r="AD173" s="17" t="s">
        <v>78</v>
      </c>
      <c r="AG173" s="17" t="n">
        <f aca="false">COUNTIF($AF$3:$AF$219,AF173)</f>
        <v>0</v>
      </c>
      <c r="AI173" s="3"/>
    </row>
    <row r="174" s="17" customFormat="true" ht="24" hidden="false" customHeight="true" outlineLevel="0" collapsed="false">
      <c r="A174" s="17" t="s">
        <v>46</v>
      </c>
      <c r="B174" s="17" t="s">
        <v>46</v>
      </c>
      <c r="C174" s="3" t="s">
        <v>47</v>
      </c>
      <c r="D174" s="18" t="s">
        <v>52</v>
      </c>
      <c r="E174" s="18" t="s">
        <v>44</v>
      </c>
      <c r="F174" s="17" t="s">
        <v>52</v>
      </c>
      <c r="G174" s="3" t="s">
        <v>53</v>
      </c>
      <c r="H174" s="20" t="s">
        <v>48</v>
      </c>
      <c r="S174" s="17" t="s">
        <v>173</v>
      </c>
      <c r="T174" s="17" t="s">
        <v>173</v>
      </c>
      <c r="U174" s="3" t="s">
        <v>396</v>
      </c>
      <c r="V174" s="17" t="s">
        <v>478</v>
      </c>
      <c r="W174" s="3" t="s">
        <v>478</v>
      </c>
      <c r="X174" s="3" t="s">
        <v>479</v>
      </c>
      <c r="Y174" s="17" t="n">
        <v>28</v>
      </c>
      <c r="Z174" s="17" t="s">
        <v>165</v>
      </c>
      <c r="AB174" s="17" t="s">
        <v>480</v>
      </c>
      <c r="AD174" s="17" t="s">
        <v>78</v>
      </c>
      <c r="AG174" s="17" t="n">
        <f aca="false">COUNTIF($AF$3:$AF$219,AF174)</f>
        <v>0</v>
      </c>
      <c r="AI174" s="3"/>
    </row>
    <row r="175" s="17" customFormat="true" ht="24" hidden="false" customHeight="true" outlineLevel="0" collapsed="false">
      <c r="A175" s="17" t="s">
        <v>46</v>
      </c>
      <c r="B175" s="17" t="s">
        <v>46</v>
      </c>
      <c r="C175" s="3" t="s">
        <v>47</v>
      </c>
      <c r="D175" s="18" t="s">
        <v>52</v>
      </c>
      <c r="E175" s="18" t="s">
        <v>44</v>
      </c>
      <c r="F175" s="17" t="s">
        <v>52</v>
      </c>
      <c r="G175" s="3" t="s">
        <v>53</v>
      </c>
      <c r="H175" s="20" t="s">
        <v>48</v>
      </c>
      <c r="S175" s="17" t="s">
        <v>173</v>
      </c>
      <c r="T175" s="17" t="s">
        <v>173</v>
      </c>
      <c r="U175" s="3" t="s">
        <v>396</v>
      </c>
      <c r="V175" s="17" t="s">
        <v>481</v>
      </c>
      <c r="W175" s="3" t="s">
        <v>481</v>
      </c>
      <c r="X175" s="3" t="s">
        <v>482</v>
      </c>
      <c r="Y175" s="17" t="n">
        <v>29</v>
      </c>
      <c r="Z175" s="17" t="s">
        <v>142</v>
      </c>
      <c r="AB175" s="17" t="s">
        <v>483</v>
      </c>
      <c r="AD175" s="17" t="s">
        <v>78</v>
      </c>
      <c r="AG175" s="17" t="n">
        <f aca="false">COUNTIF($AF$3:$AF$219,AF175)</f>
        <v>0</v>
      </c>
      <c r="AI175" s="3"/>
    </row>
    <row r="176" s="17" customFormat="true" ht="24" hidden="false" customHeight="true" outlineLevel="0" collapsed="false">
      <c r="A176" s="17" t="s">
        <v>46</v>
      </c>
      <c r="B176" s="17" t="s">
        <v>46</v>
      </c>
      <c r="C176" s="3" t="s">
        <v>47</v>
      </c>
      <c r="D176" s="18" t="s">
        <v>52</v>
      </c>
      <c r="E176" s="18" t="s">
        <v>44</v>
      </c>
      <c r="F176" s="17" t="s">
        <v>52</v>
      </c>
      <c r="G176" s="3" t="s">
        <v>53</v>
      </c>
      <c r="H176" s="20" t="s">
        <v>48</v>
      </c>
      <c r="S176" s="17" t="s">
        <v>173</v>
      </c>
      <c r="T176" s="17" t="s">
        <v>173</v>
      </c>
      <c r="U176" s="3" t="s">
        <v>396</v>
      </c>
      <c r="V176" s="17" t="s">
        <v>484</v>
      </c>
      <c r="W176" s="3" t="s">
        <v>484</v>
      </c>
      <c r="X176" s="3" t="s">
        <v>485</v>
      </c>
      <c r="Y176" s="17" t="n">
        <v>30</v>
      </c>
      <c r="Z176" s="17" t="s">
        <v>308</v>
      </c>
      <c r="AB176" s="17" t="s">
        <v>486</v>
      </c>
      <c r="AD176" s="17" t="s">
        <v>78</v>
      </c>
      <c r="AG176" s="17" t="n">
        <f aca="false">COUNTIF($AF$3:$AF$219,AF176)</f>
        <v>0</v>
      </c>
      <c r="AI176" s="3"/>
    </row>
    <row r="177" s="17" customFormat="true" ht="24" hidden="false" customHeight="true" outlineLevel="0" collapsed="false">
      <c r="A177" s="17" t="s">
        <v>46</v>
      </c>
      <c r="B177" s="17" t="s">
        <v>46</v>
      </c>
      <c r="C177" s="3" t="s">
        <v>47</v>
      </c>
      <c r="D177" s="18" t="s">
        <v>52</v>
      </c>
      <c r="E177" s="18" t="s">
        <v>44</v>
      </c>
      <c r="F177" s="17" t="s">
        <v>52</v>
      </c>
      <c r="G177" s="3" t="s">
        <v>53</v>
      </c>
      <c r="H177" s="20" t="s">
        <v>48</v>
      </c>
      <c r="S177" s="17" t="s">
        <v>173</v>
      </c>
      <c r="T177" s="17" t="s">
        <v>173</v>
      </c>
      <c r="U177" s="3" t="s">
        <v>396</v>
      </c>
      <c r="V177" s="17" t="s">
        <v>487</v>
      </c>
      <c r="W177" s="3" t="s">
        <v>487</v>
      </c>
      <c r="X177" s="3" t="s">
        <v>488</v>
      </c>
      <c r="Y177" s="17" t="n">
        <v>31</v>
      </c>
      <c r="Z177" s="17" t="s">
        <v>81</v>
      </c>
      <c r="AB177" s="17" t="s">
        <v>489</v>
      </c>
      <c r="AD177" s="17" t="s">
        <v>78</v>
      </c>
      <c r="AG177" s="17" t="n">
        <f aca="false">COUNTIF($AF$3:$AF$219,AF177)</f>
        <v>0</v>
      </c>
      <c r="AI177" s="3"/>
    </row>
    <row r="178" s="17" customFormat="true" ht="24" hidden="false" customHeight="true" outlineLevel="0" collapsed="false">
      <c r="A178" s="17" t="s">
        <v>46</v>
      </c>
      <c r="B178" s="17" t="s">
        <v>46</v>
      </c>
      <c r="C178" s="3" t="s">
        <v>47</v>
      </c>
      <c r="D178" s="18" t="s">
        <v>52</v>
      </c>
      <c r="E178" s="18" t="s">
        <v>44</v>
      </c>
      <c r="F178" s="17" t="s">
        <v>52</v>
      </c>
      <c r="G178" s="3" t="s">
        <v>53</v>
      </c>
      <c r="H178" s="20" t="s">
        <v>48</v>
      </c>
      <c r="S178" s="17" t="s">
        <v>173</v>
      </c>
      <c r="T178" s="17" t="s">
        <v>173</v>
      </c>
      <c r="U178" s="3" t="s">
        <v>396</v>
      </c>
      <c r="V178" s="17" t="s">
        <v>490</v>
      </c>
      <c r="W178" s="3" t="s">
        <v>490</v>
      </c>
      <c r="X178" s="3" t="s">
        <v>491</v>
      </c>
      <c r="Y178" s="17" t="n">
        <v>32</v>
      </c>
      <c r="Z178" s="17" t="s">
        <v>308</v>
      </c>
      <c r="AD178" s="17" t="s">
        <v>78</v>
      </c>
      <c r="AG178" s="17" t="n">
        <f aca="false">COUNTIF($AF$3:$AF$219,AF178)</f>
        <v>0</v>
      </c>
      <c r="AI178" s="3"/>
    </row>
    <row r="179" s="17" customFormat="true" ht="24" hidden="false" customHeight="true" outlineLevel="0" collapsed="false">
      <c r="A179" s="17" t="s">
        <v>46</v>
      </c>
      <c r="B179" s="17" t="s">
        <v>46</v>
      </c>
      <c r="C179" s="3" t="s">
        <v>47</v>
      </c>
      <c r="D179" s="18" t="s">
        <v>52</v>
      </c>
      <c r="E179" s="18" t="s">
        <v>44</v>
      </c>
      <c r="F179" s="17" t="s">
        <v>52</v>
      </c>
      <c r="G179" s="3" t="s">
        <v>53</v>
      </c>
      <c r="H179" s="20" t="s">
        <v>48</v>
      </c>
      <c r="S179" s="17" t="s">
        <v>173</v>
      </c>
      <c r="T179" s="17" t="s">
        <v>173</v>
      </c>
      <c r="U179" s="3" t="s">
        <v>396</v>
      </c>
      <c r="V179" s="17" t="s">
        <v>492</v>
      </c>
      <c r="W179" s="3" t="s">
        <v>492</v>
      </c>
      <c r="X179" s="3" t="s">
        <v>493</v>
      </c>
      <c r="Y179" s="17" t="n">
        <v>33</v>
      </c>
      <c r="Z179" s="17" t="s">
        <v>81</v>
      </c>
      <c r="AD179" s="17" t="s">
        <v>78</v>
      </c>
      <c r="AG179" s="17" t="n">
        <f aca="false">COUNTIF($AF$3:$AF$219,AF179)</f>
        <v>0</v>
      </c>
      <c r="AI179" s="3"/>
    </row>
    <row r="180" s="17" customFormat="true" ht="24" hidden="false" customHeight="true" outlineLevel="0" collapsed="false">
      <c r="A180" s="17" t="s">
        <v>46</v>
      </c>
      <c r="B180" s="17" t="s">
        <v>46</v>
      </c>
      <c r="C180" s="3" t="s">
        <v>47</v>
      </c>
      <c r="D180" s="18" t="s">
        <v>52</v>
      </c>
      <c r="E180" s="18" t="s">
        <v>44</v>
      </c>
      <c r="F180" s="17" t="s">
        <v>52</v>
      </c>
      <c r="G180" s="3" t="s">
        <v>53</v>
      </c>
      <c r="H180" s="20" t="s">
        <v>48</v>
      </c>
      <c r="S180" s="17" t="s">
        <v>173</v>
      </c>
      <c r="T180" s="17" t="s">
        <v>173</v>
      </c>
      <c r="U180" s="3" t="s">
        <v>396</v>
      </c>
      <c r="V180" s="17" t="s">
        <v>289</v>
      </c>
      <c r="W180" s="3" t="s">
        <v>289</v>
      </c>
      <c r="X180" s="3" t="s">
        <v>494</v>
      </c>
      <c r="Y180" s="17" t="n">
        <v>34</v>
      </c>
      <c r="Z180" s="17" t="s">
        <v>81</v>
      </c>
      <c r="AB180" s="17" t="s">
        <v>495</v>
      </c>
      <c r="AD180" s="17" t="s">
        <v>78</v>
      </c>
      <c r="AG180" s="17" t="n">
        <f aca="false">COUNTIF($AF$3:$AF$219,AF180)</f>
        <v>0</v>
      </c>
      <c r="AI180" s="3"/>
    </row>
    <row r="181" s="17" customFormat="true" ht="24" hidden="false" customHeight="true" outlineLevel="0" collapsed="false">
      <c r="A181" s="17" t="s">
        <v>46</v>
      </c>
      <c r="B181" s="17" t="s">
        <v>46</v>
      </c>
      <c r="C181" s="3" t="s">
        <v>47</v>
      </c>
      <c r="D181" s="18" t="s">
        <v>52</v>
      </c>
      <c r="E181" s="18" t="s">
        <v>44</v>
      </c>
      <c r="F181" s="17" t="s">
        <v>52</v>
      </c>
      <c r="G181" s="3" t="s">
        <v>53</v>
      </c>
      <c r="H181" s="20" t="s">
        <v>48</v>
      </c>
      <c r="S181" s="17" t="s">
        <v>173</v>
      </c>
      <c r="T181" s="17" t="s">
        <v>173</v>
      </c>
      <c r="U181" s="3" t="s">
        <v>396</v>
      </c>
      <c r="V181" s="17" t="s">
        <v>291</v>
      </c>
      <c r="W181" s="3" t="s">
        <v>291</v>
      </c>
      <c r="X181" s="3" t="s">
        <v>496</v>
      </c>
      <c r="Y181" s="17" t="n">
        <v>35</v>
      </c>
      <c r="Z181" s="17" t="s">
        <v>308</v>
      </c>
      <c r="AD181" s="17" t="s">
        <v>78</v>
      </c>
      <c r="AG181" s="17" t="n">
        <f aca="false">COUNTIF($AF$3:$AF$219,AF181)</f>
        <v>0</v>
      </c>
      <c r="AI181" s="3"/>
    </row>
    <row r="182" s="17" customFormat="true" ht="24" hidden="false" customHeight="true" outlineLevel="0" collapsed="false">
      <c r="A182" s="17" t="s">
        <v>46</v>
      </c>
      <c r="B182" s="17" t="s">
        <v>46</v>
      </c>
      <c r="C182" s="3" t="s">
        <v>47</v>
      </c>
      <c r="D182" s="18" t="s">
        <v>52</v>
      </c>
      <c r="E182" s="18" t="s">
        <v>44</v>
      </c>
      <c r="F182" s="17" t="s">
        <v>52</v>
      </c>
      <c r="G182" s="3" t="s">
        <v>53</v>
      </c>
      <c r="H182" s="20" t="s">
        <v>48</v>
      </c>
      <c r="S182" s="17" t="s">
        <v>173</v>
      </c>
      <c r="T182" s="17" t="s">
        <v>173</v>
      </c>
      <c r="U182" s="3" t="s">
        <v>396</v>
      </c>
      <c r="V182" s="17" t="s">
        <v>497</v>
      </c>
      <c r="W182" s="3" t="s">
        <v>497</v>
      </c>
      <c r="X182" s="3" t="s">
        <v>498</v>
      </c>
      <c r="Y182" s="17" t="n">
        <v>36</v>
      </c>
      <c r="Z182" s="17" t="s">
        <v>81</v>
      </c>
      <c r="AD182" s="17" t="s">
        <v>78</v>
      </c>
      <c r="AG182" s="17" t="n">
        <f aca="false">COUNTIF($AF$3:$AF$219,AF182)</f>
        <v>0</v>
      </c>
      <c r="AI182" s="3"/>
    </row>
    <row r="183" s="17" customFormat="true" ht="24" hidden="false" customHeight="true" outlineLevel="0" collapsed="false">
      <c r="A183" s="17" t="s">
        <v>46</v>
      </c>
      <c r="B183" s="17" t="s">
        <v>46</v>
      </c>
      <c r="C183" s="3" t="s">
        <v>47</v>
      </c>
      <c r="D183" s="18" t="s">
        <v>52</v>
      </c>
      <c r="E183" s="18" t="s">
        <v>44</v>
      </c>
      <c r="F183" s="17" t="s">
        <v>52</v>
      </c>
      <c r="G183" s="3" t="s">
        <v>53</v>
      </c>
      <c r="H183" s="20" t="s">
        <v>48</v>
      </c>
      <c r="S183" s="17" t="s">
        <v>173</v>
      </c>
      <c r="T183" s="17" t="s">
        <v>173</v>
      </c>
      <c r="U183" s="3" t="s">
        <v>396</v>
      </c>
      <c r="V183" s="17" t="s">
        <v>499</v>
      </c>
      <c r="W183" s="3" t="s">
        <v>499</v>
      </c>
      <c r="X183" s="3" t="s">
        <v>500</v>
      </c>
      <c r="Y183" s="17" t="n">
        <v>37</v>
      </c>
      <c r="Z183" s="17" t="s">
        <v>81</v>
      </c>
      <c r="AD183" s="17" t="s">
        <v>78</v>
      </c>
      <c r="AG183" s="17" t="n">
        <f aca="false">COUNTIF($AF$3:$AF$219,AF183)</f>
        <v>0</v>
      </c>
      <c r="AI183" s="3"/>
    </row>
    <row r="184" s="17" customFormat="true" ht="24" hidden="false" customHeight="true" outlineLevel="0" collapsed="false">
      <c r="A184" s="17" t="s">
        <v>46</v>
      </c>
      <c r="B184" s="17" t="s">
        <v>46</v>
      </c>
      <c r="C184" s="3" t="s">
        <v>47</v>
      </c>
      <c r="D184" s="18" t="s">
        <v>52</v>
      </c>
      <c r="E184" s="18" t="s">
        <v>44</v>
      </c>
      <c r="F184" s="17" t="s">
        <v>52</v>
      </c>
      <c r="G184" s="3" t="s">
        <v>53</v>
      </c>
      <c r="H184" s="20" t="s">
        <v>48</v>
      </c>
      <c r="S184" s="17" t="s">
        <v>173</v>
      </c>
      <c r="T184" s="17" t="s">
        <v>173</v>
      </c>
      <c r="U184" s="3" t="s">
        <v>396</v>
      </c>
      <c r="V184" s="17" t="s">
        <v>501</v>
      </c>
      <c r="W184" s="3" t="s">
        <v>501</v>
      </c>
      <c r="X184" s="3" t="s">
        <v>502</v>
      </c>
      <c r="Y184" s="17" t="n">
        <v>38</v>
      </c>
      <c r="Z184" s="17" t="s">
        <v>81</v>
      </c>
      <c r="AB184" s="17" t="s">
        <v>503</v>
      </c>
      <c r="AD184" s="17" t="s">
        <v>78</v>
      </c>
      <c r="AG184" s="17" t="n">
        <f aca="false">COUNTIF($AF$3:$AF$219,AF184)</f>
        <v>0</v>
      </c>
      <c r="AI184" s="3"/>
    </row>
    <row r="185" s="17" customFormat="true" ht="24" hidden="false" customHeight="true" outlineLevel="0" collapsed="false">
      <c r="A185" s="17" t="s">
        <v>46</v>
      </c>
      <c r="B185" s="17" t="s">
        <v>46</v>
      </c>
      <c r="C185" s="3" t="s">
        <v>47</v>
      </c>
      <c r="D185" s="18" t="s">
        <v>52</v>
      </c>
      <c r="E185" s="18" t="s">
        <v>44</v>
      </c>
      <c r="F185" s="17" t="s">
        <v>52</v>
      </c>
      <c r="G185" s="3" t="s">
        <v>53</v>
      </c>
      <c r="H185" s="20" t="s">
        <v>48</v>
      </c>
      <c r="S185" s="17" t="s">
        <v>173</v>
      </c>
      <c r="T185" s="17" t="s">
        <v>173</v>
      </c>
      <c r="U185" s="3" t="s">
        <v>396</v>
      </c>
      <c r="V185" s="17" t="s">
        <v>504</v>
      </c>
      <c r="W185" s="3" t="s">
        <v>504</v>
      </c>
      <c r="X185" s="3" t="s">
        <v>505</v>
      </c>
      <c r="Y185" s="17" t="n">
        <v>39</v>
      </c>
      <c r="Z185" s="17" t="s">
        <v>81</v>
      </c>
      <c r="AB185" s="17" t="s">
        <v>506</v>
      </c>
      <c r="AD185" s="17" t="s">
        <v>78</v>
      </c>
      <c r="AG185" s="17" t="n">
        <f aca="false">COUNTIF($AF$3:$AF$219,AF185)</f>
        <v>0</v>
      </c>
      <c r="AI185" s="3"/>
    </row>
    <row r="186" s="17" customFormat="true" ht="24" hidden="false" customHeight="true" outlineLevel="0" collapsed="false">
      <c r="A186" s="17" t="s">
        <v>46</v>
      </c>
      <c r="B186" s="17" t="s">
        <v>46</v>
      </c>
      <c r="C186" s="3" t="s">
        <v>47</v>
      </c>
      <c r="D186" s="18" t="s">
        <v>52</v>
      </c>
      <c r="E186" s="18" t="s">
        <v>44</v>
      </c>
      <c r="F186" s="17" t="s">
        <v>52</v>
      </c>
      <c r="G186" s="3" t="s">
        <v>53</v>
      </c>
      <c r="H186" s="20" t="s">
        <v>48</v>
      </c>
      <c r="S186" s="17" t="s">
        <v>173</v>
      </c>
      <c r="T186" s="17" t="s">
        <v>173</v>
      </c>
      <c r="U186" s="3" t="s">
        <v>396</v>
      </c>
      <c r="V186" s="17" t="s">
        <v>507</v>
      </c>
      <c r="W186" s="3" t="s">
        <v>507</v>
      </c>
      <c r="X186" s="3" t="s">
        <v>508</v>
      </c>
      <c r="Y186" s="17" t="n">
        <v>40</v>
      </c>
      <c r="Z186" s="17" t="s">
        <v>142</v>
      </c>
      <c r="AB186" s="17" t="s">
        <v>509</v>
      </c>
      <c r="AD186" s="17" t="s">
        <v>78</v>
      </c>
      <c r="AG186" s="17" t="n">
        <f aca="false">COUNTIF($AF$3:$AF$219,AF186)</f>
        <v>0</v>
      </c>
      <c r="AI186" s="3"/>
    </row>
    <row r="187" s="17" customFormat="true" ht="24" hidden="false" customHeight="true" outlineLevel="0" collapsed="false">
      <c r="A187" s="17" t="s">
        <v>46</v>
      </c>
      <c r="B187" s="17" t="s">
        <v>46</v>
      </c>
      <c r="C187" s="3" t="s">
        <v>47</v>
      </c>
      <c r="D187" s="18" t="s">
        <v>52</v>
      </c>
      <c r="E187" s="18" t="s">
        <v>44</v>
      </c>
      <c r="F187" s="17" t="s">
        <v>52</v>
      </c>
      <c r="G187" s="3" t="s">
        <v>53</v>
      </c>
      <c r="H187" s="20" t="s">
        <v>48</v>
      </c>
      <c r="S187" s="17" t="s">
        <v>173</v>
      </c>
      <c r="T187" s="17" t="s">
        <v>173</v>
      </c>
      <c r="U187" s="3" t="s">
        <v>396</v>
      </c>
      <c r="V187" s="17" t="s">
        <v>510</v>
      </c>
      <c r="W187" s="3" t="s">
        <v>510</v>
      </c>
      <c r="X187" s="3" t="s">
        <v>511</v>
      </c>
      <c r="Y187" s="17" t="n">
        <v>41</v>
      </c>
      <c r="Z187" s="17" t="s">
        <v>81</v>
      </c>
      <c r="AB187" s="17" t="s">
        <v>512</v>
      </c>
      <c r="AD187" s="17" t="s">
        <v>78</v>
      </c>
      <c r="AG187" s="17" t="n">
        <v>0</v>
      </c>
      <c r="AI187" s="3"/>
      <c r="AL187" s="4"/>
      <c r="AP187" s="4"/>
    </row>
    <row r="188" s="17" customFormat="true" ht="24" hidden="false" customHeight="true" outlineLevel="0" collapsed="false">
      <c r="A188" s="17" t="s">
        <v>46</v>
      </c>
      <c r="B188" s="17" t="s">
        <v>46</v>
      </c>
      <c r="C188" s="3" t="s">
        <v>47</v>
      </c>
      <c r="D188" s="18" t="s">
        <v>52</v>
      </c>
      <c r="E188" s="18" t="s">
        <v>44</v>
      </c>
      <c r="F188" s="17" t="s">
        <v>52</v>
      </c>
      <c r="G188" s="3" t="s">
        <v>53</v>
      </c>
      <c r="H188" s="20" t="s">
        <v>48</v>
      </c>
      <c r="S188" s="17" t="s">
        <v>173</v>
      </c>
      <c r="T188" s="17" t="s">
        <v>173</v>
      </c>
      <c r="U188" s="3" t="s">
        <v>396</v>
      </c>
      <c r="V188" s="17" t="s">
        <v>513</v>
      </c>
      <c r="W188" s="17" t="s">
        <v>513</v>
      </c>
      <c r="X188" s="3" t="s">
        <v>514</v>
      </c>
      <c r="Y188" s="17" t="n">
        <v>42</v>
      </c>
      <c r="Z188" s="17" t="s">
        <v>81</v>
      </c>
      <c r="AI188" s="3"/>
      <c r="AL188" s="4"/>
      <c r="AP188" s="4"/>
    </row>
    <row r="189" s="17" customFormat="true" ht="24" hidden="false" customHeight="true" outlineLevel="0" collapsed="false">
      <c r="A189" s="17" t="s">
        <v>46</v>
      </c>
      <c r="B189" s="17" t="s">
        <v>46</v>
      </c>
      <c r="C189" s="3" t="s">
        <v>47</v>
      </c>
      <c r="D189" s="18" t="s">
        <v>52</v>
      </c>
      <c r="E189" s="18" t="s">
        <v>44</v>
      </c>
      <c r="F189" s="17" t="s">
        <v>52</v>
      </c>
      <c r="G189" s="3" t="s">
        <v>53</v>
      </c>
      <c r="H189" s="20" t="s">
        <v>48</v>
      </c>
      <c r="S189" s="17" t="s">
        <v>173</v>
      </c>
      <c r="T189" s="17" t="s">
        <v>173</v>
      </c>
      <c r="U189" s="3" t="s">
        <v>396</v>
      </c>
      <c r="V189" s="17" t="s">
        <v>515</v>
      </c>
      <c r="W189" s="17" t="s">
        <v>515</v>
      </c>
      <c r="X189" s="3" t="s">
        <v>516</v>
      </c>
      <c r="Y189" s="17" t="n">
        <v>43</v>
      </c>
      <c r="Z189" s="17" t="s">
        <v>81</v>
      </c>
      <c r="AI189" s="3"/>
      <c r="AL189" s="4"/>
      <c r="AP189" s="4"/>
    </row>
    <row r="190" s="17" customFormat="true" ht="24" hidden="false" customHeight="true" outlineLevel="0" collapsed="false">
      <c r="A190" s="17" t="s">
        <v>46</v>
      </c>
      <c r="B190" s="17" t="s">
        <v>46</v>
      </c>
      <c r="C190" s="3" t="s">
        <v>47</v>
      </c>
      <c r="D190" s="18" t="s">
        <v>52</v>
      </c>
      <c r="E190" s="18" t="s">
        <v>44</v>
      </c>
      <c r="F190" s="17" t="s">
        <v>52</v>
      </c>
      <c r="G190" s="3" t="s">
        <v>53</v>
      </c>
      <c r="H190" s="20" t="s">
        <v>48</v>
      </c>
      <c r="S190" s="17" t="s">
        <v>173</v>
      </c>
      <c r="T190" s="17" t="s">
        <v>173</v>
      </c>
      <c r="U190" s="3" t="s">
        <v>396</v>
      </c>
      <c r="V190" s="17" t="s">
        <v>517</v>
      </c>
      <c r="W190" s="17" t="s">
        <v>518</v>
      </c>
      <c r="X190" s="3" t="s">
        <v>519</v>
      </c>
      <c r="Y190" s="17" t="n">
        <v>44</v>
      </c>
      <c r="Z190" s="17" t="s">
        <v>308</v>
      </c>
      <c r="AI190" s="3"/>
      <c r="AL190" s="4"/>
      <c r="AP190" s="4"/>
    </row>
    <row r="191" s="17" customFormat="true" ht="24" hidden="false" customHeight="true" outlineLevel="0" collapsed="false">
      <c r="A191" s="17" t="s">
        <v>46</v>
      </c>
      <c r="B191" s="17" t="s">
        <v>46</v>
      </c>
      <c r="C191" s="3" t="s">
        <v>47</v>
      </c>
      <c r="D191" s="18" t="s">
        <v>52</v>
      </c>
      <c r="E191" s="18" t="s">
        <v>44</v>
      </c>
      <c r="F191" s="17" t="s">
        <v>52</v>
      </c>
      <c r="G191" s="3" t="s">
        <v>53</v>
      </c>
      <c r="H191" s="20" t="s">
        <v>48</v>
      </c>
      <c r="S191" s="17" t="s">
        <v>173</v>
      </c>
      <c r="T191" s="17" t="s">
        <v>173</v>
      </c>
      <c r="U191" s="3" t="s">
        <v>396</v>
      </c>
      <c r="V191" s="17" t="s">
        <v>520</v>
      </c>
      <c r="W191" s="17" t="s">
        <v>521</v>
      </c>
      <c r="X191" s="3" t="s">
        <v>522</v>
      </c>
      <c r="Y191" s="17" t="n">
        <v>45</v>
      </c>
      <c r="Z191" s="17" t="s">
        <v>81</v>
      </c>
      <c r="AI191" s="3"/>
      <c r="AL191" s="4"/>
      <c r="AP191" s="4"/>
    </row>
    <row r="192" s="20" customFormat="true" ht="24" hidden="false" customHeight="true" outlineLevel="0" collapsed="false">
      <c r="A192" s="20" t="s">
        <v>46</v>
      </c>
      <c r="B192" s="20" t="s">
        <v>46</v>
      </c>
      <c r="C192" s="19" t="s">
        <v>47</v>
      </c>
      <c r="D192" s="18" t="s">
        <v>52</v>
      </c>
      <c r="E192" s="18" t="s">
        <v>44</v>
      </c>
      <c r="F192" s="20" t="s">
        <v>52</v>
      </c>
      <c r="G192" s="19" t="s">
        <v>53</v>
      </c>
      <c r="H192" s="20" t="s">
        <v>48</v>
      </c>
      <c r="S192" s="20" t="s">
        <v>52</v>
      </c>
      <c r="T192" s="20" t="s">
        <v>52</v>
      </c>
      <c r="U192" s="19" t="s">
        <v>396</v>
      </c>
      <c r="V192" s="20" t="s">
        <v>273</v>
      </c>
      <c r="W192" s="19" t="s">
        <v>397</v>
      </c>
      <c r="X192" s="19" t="s">
        <v>75</v>
      </c>
      <c r="Y192" s="20" t="n">
        <v>0</v>
      </c>
      <c r="Z192" s="20" t="s">
        <v>76</v>
      </c>
      <c r="AD192" s="20" t="s">
        <v>77</v>
      </c>
      <c r="AE192" s="20" t="s">
        <v>78</v>
      </c>
      <c r="AG192" s="20" t="n">
        <f aca="false">COUNTIF($AF$3:$AF$219,AF192)</f>
        <v>0</v>
      </c>
      <c r="AI192" s="19"/>
    </row>
    <row r="193" s="20" customFormat="true" ht="24" hidden="false" customHeight="true" outlineLevel="0" collapsed="false">
      <c r="A193" s="20" t="s">
        <v>46</v>
      </c>
      <c r="B193" s="20" t="s">
        <v>46</v>
      </c>
      <c r="C193" s="19" t="s">
        <v>47</v>
      </c>
      <c r="D193" s="18" t="s">
        <v>52</v>
      </c>
      <c r="E193" s="18" t="s">
        <v>44</v>
      </c>
      <c r="F193" s="20" t="s">
        <v>52</v>
      </c>
      <c r="G193" s="19" t="s">
        <v>53</v>
      </c>
      <c r="H193" s="20" t="s">
        <v>48</v>
      </c>
      <c r="S193" s="20" t="s">
        <v>52</v>
      </c>
      <c r="T193" s="20" t="s">
        <v>52</v>
      </c>
      <c r="U193" s="19" t="s">
        <v>396</v>
      </c>
      <c r="V193" s="20" t="s">
        <v>178</v>
      </c>
      <c r="W193" s="19" t="s">
        <v>179</v>
      </c>
      <c r="X193" s="19" t="s">
        <v>402</v>
      </c>
      <c r="Y193" s="20" t="n">
        <v>1</v>
      </c>
      <c r="Z193" s="20" t="s">
        <v>76</v>
      </c>
      <c r="AD193" s="20" t="s">
        <v>78</v>
      </c>
      <c r="AF193" s="20" t="s">
        <v>523</v>
      </c>
      <c r="AG193" s="20" t="n">
        <f aca="false">COUNTIF($AF$3:$AF$219,AF193)</f>
        <v>1</v>
      </c>
      <c r="AH193" s="20" t="s">
        <v>404</v>
      </c>
      <c r="AI193" s="19" t="s">
        <v>405</v>
      </c>
      <c r="AJ193" s="20" t="s">
        <v>130</v>
      </c>
      <c r="AK193" s="20" t="s">
        <v>46</v>
      </c>
      <c r="AL193" s="23" t="s">
        <v>52</v>
      </c>
      <c r="AM193" s="20" t="s">
        <v>178</v>
      </c>
      <c r="AN193" s="20" t="s">
        <v>163</v>
      </c>
      <c r="AO193" s="20" t="s">
        <v>46</v>
      </c>
      <c r="AP193" s="23" t="s">
        <v>175</v>
      </c>
      <c r="AQ193" s="20" t="s">
        <v>178</v>
      </c>
      <c r="AR193" s="20" t="s">
        <v>131</v>
      </c>
    </row>
    <row r="194" s="20" customFormat="true" ht="24" hidden="false" customHeight="true" outlineLevel="0" collapsed="false">
      <c r="A194" s="20" t="s">
        <v>46</v>
      </c>
      <c r="B194" s="20" t="s">
        <v>46</v>
      </c>
      <c r="C194" s="19" t="s">
        <v>47</v>
      </c>
      <c r="D194" s="18" t="s">
        <v>52</v>
      </c>
      <c r="E194" s="18" t="s">
        <v>44</v>
      </c>
      <c r="F194" s="20" t="s">
        <v>52</v>
      </c>
      <c r="G194" s="19" t="s">
        <v>53</v>
      </c>
      <c r="H194" s="20" t="s">
        <v>48</v>
      </c>
      <c r="S194" s="20" t="s">
        <v>52</v>
      </c>
      <c r="T194" s="20" t="s">
        <v>52</v>
      </c>
      <c r="U194" s="19" t="s">
        <v>396</v>
      </c>
      <c r="V194" s="20" t="s">
        <v>421</v>
      </c>
      <c r="W194" s="19" t="s">
        <v>421</v>
      </c>
      <c r="X194" s="19" t="s">
        <v>422</v>
      </c>
      <c r="Y194" s="20" t="n">
        <v>2</v>
      </c>
      <c r="Z194" s="20" t="s">
        <v>81</v>
      </c>
      <c r="AD194" s="20" t="s">
        <v>77</v>
      </c>
      <c r="AG194" s="20" t="n">
        <f aca="false">COUNTIF($AF$3:$AF$219,AF194)</f>
        <v>0</v>
      </c>
      <c r="AI194" s="19"/>
    </row>
    <row r="195" s="20" customFormat="true" ht="24" hidden="false" customHeight="true" outlineLevel="0" collapsed="false">
      <c r="A195" s="20" t="s">
        <v>46</v>
      </c>
      <c r="B195" s="20" t="s">
        <v>46</v>
      </c>
      <c r="C195" s="19" t="s">
        <v>47</v>
      </c>
      <c r="D195" s="18" t="s">
        <v>52</v>
      </c>
      <c r="E195" s="18" t="s">
        <v>44</v>
      </c>
      <c r="F195" s="20" t="s">
        <v>52</v>
      </c>
      <c r="G195" s="19" t="s">
        <v>53</v>
      </c>
      <c r="H195" s="20" t="s">
        <v>48</v>
      </c>
      <c r="S195" s="20" t="s">
        <v>52</v>
      </c>
      <c r="T195" s="20" t="s">
        <v>52</v>
      </c>
      <c r="U195" s="19" t="s">
        <v>396</v>
      </c>
      <c r="V195" s="20" t="s">
        <v>454</v>
      </c>
      <c r="W195" s="19" t="s">
        <v>454</v>
      </c>
      <c r="X195" s="19" t="s">
        <v>524</v>
      </c>
      <c r="Y195" s="20" t="n">
        <v>3</v>
      </c>
      <c r="Z195" s="20" t="s">
        <v>194</v>
      </c>
      <c r="AD195" s="20" t="s">
        <v>77</v>
      </c>
      <c r="AG195" s="20" t="n">
        <f aca="false">COUNTIF($AF$3:$AF$219,AF195)</f>
        <v>0</v>
      </c>
      <c r="AI195" s="19"/>
    </row>
    <row r="196" s="20" customFormat="true" ht="24" hidden="false" customHeight="true" outlineLevel="0" collapsed="false">
      <c r="A196" s="20" t="s">
        <v>46</v>
      </c>
      <c r="B196" s="20" t="s">
        <v>46</v>
      </c>
      <c r="C196" s="19" t="s">
        <v>47</v>
      </c>
      <c r="D196" s="18" t="s">
        <v>52</v>
      </c>
      <c r="E196" s="18" t="s">
        <v>44</v>
      </c>
      <c r="F196" s="20" t="s">
        <v>52</v>
      </c>
      <c r="G196" s="19" t="s">
        <v>53</v>
      </c>
      <c r="H196" s="20" t="s">
        <v>48</v>
      </c>
      <c r="S196" s="20" t="s">
        <v>52</v>
      </c>
      <c r="T196" s="20" t="s">
        <v>52</v>
      </c>
      <c r="U196" s="19" t="s">
        <v>396</v>
      </c>
      <c r="V196" s="20" t="s">
        <v>306</v>
      </c>
      <c r="W196" s="20" t="s">
        <v>306</v>
      </c>
      <c r="X196" s="19" t="s">
        <v>458</v>
      </c>
      <c r="Y196" s="20" t="n">
        <v>4</v>
      </c>
      <c r="Z196" s="20" t="s">
        <v>308</v>
      </c>
      <c r="AD196" s="20" t="s">
        <v>77</v>
      </c>
      <c r="AG196" s="20" t="n">
        <f aca="false">COUNTIF($AF$3:$AF$219,AF196)</f>
        <v>0</v>
      </c>
      <c r="AI196" s="19"/>
    </row>
    <row r="197" s="20" customFormat="true" ht="24" hidden="false" customHeight="true" outlineLevel="0" collapsed="false">
      <c r="A197" s="20" t="s">
        <v>46</v>
      </c>
      <c r="B197" s="20" t="s">
        <v>46</v>
      </c>
      <c r="C197" s="19" t="s">
        <v>47</v>
      </c>
      <c r="D197" s="18" t="s">
        <v>52</v>
      </c>
      <c r="E197" s="18" t="s">
        <v>44</v>
      </c>
      <c r="F197" s="20" t="s">
        <v>52</v>
      </c>
      <c r="G197" s="19" t="s">
        <v>53</v>
      </c>
      <c r="H197" s="20" t="s">
        <v>48</v>
      </c>
      <c r="S197" s="20" t="s">
        <v>52</v>
      </c>
      <c r="T197" s="20" t="s">
        <v>52</v>
      </c>
      <c r="U197" s="19" t="s">
        <v>396</v>
      </c>
      <c r="V197" s="20" t="s">
        <v>266</v>
      </c>
      <c r="W197" s="20" t="s">
        <v>266</v>
      </c>
      <c r="X197" s="19" t="s">
        <v>461</v>
      </c>
      <c r="Y197" s="20" t="n">
        <v>5</v>
      </c>
      <c r="Z197" s="20" t="s">
        <v>81</v>
      </c>
      <c r="AD197" s="20" t="s">
        <v>77</v>
      </c>
      <c r="AG197" s="20" t="n">
        <f aca="false">COUNTIF($AF$3:$AF$219,AF197)</f>
        <v>0</v>
      </c>
      <c r="AI197" s="19"/>
    </row>
    <row r="198" s="20" customFormat="true" ht="24" hidden="false" customHeight="true" outlineLevel="0" collapsed="false">
      <c r="A198" s="20" t="s">
        <v>46</v>
      </c>
      <c r="B198" s="20" t="s">
        <v>46</v>
      </c>
      <c r="C198" s="19" t="s">
        <v>47</v>
      </c>
      <c r="D198" s="18" t="s">
        <v>52</v>
      </c>
      <c r="E198" s="18" t="s">
        <v>44</v>
      </c>
      <c r="F198" s="20" t="s">
        <v>52</v>
      </c>
      <c r="G198" s="19" t="s">
        <v>53</v>
      </c>
      <c r="H198" s="20" t="s">
        <v>48</v>
      </c>
      <c r="S198" s="20" t="s">
        <v>52</v>
      </c>
      <c r="T198" s="20" t="s">
        <v>52</v>
      </c>
      <c r="U198" s="19" t="s">
        <v>396</v>
      </c>
      <c r="V198" s="20" t="s">
        <v>525</v>
      </c>
      <c r="W198" s="20" t="s">
        <v>525</v>
      </c>
      <c r="X198" s="19" t="s">
        <v>526</v>
      </c>
      <c r="Y198" s="20" t="n">
        <v>6</v>
      </c>
      <c r="Z198" s="20" t="s">
        <v>165</v>
      </c>
      <c r="AD198" s="20" t="s">
        <v>77</v>
      </c>
      <c r="AG198" s="20" t="n">
        <f aca="false">COUNTIF($AF$3:$AF$219,AF198)</f>
        <v>0</v>
      </c>
      <c r="AI198" s="19"/>
    </row>
    <row r="199" s="20" customFormat="true" ht="24" hidden="false" customHeight="true" outlineLevel="0" collapsed="false">
      <c r="A199" s="20" t="s">
        <v>46</v>
      </c>
      <c r="B199" s="20" t="s">
        <v>46</v>
      </c>
      <c r="C199" s="19" t="s">
        <v>47</v>
      </c>
      <c r="D199" s="18" t="s">
        <v>52</v>
      </c>
      <c r="E199" s="18" t="s">
        <v>44</v>
      </c>
      <c r="F199" s="20" t="s">
        <v>52</v>
      </c>
      <c r="G199" s="19" t="s">
        <v>53</v>
      </c>
      <c r="H199" s="20" t="s">
        <v>48</v>
      </c>
      <c r="S199" s="20" t="s">
        <v>52</v>
      </c>
      <c r="T199" s="20" t="s">
        <v>52</v>
      </c>
      <c r="U199" s="19" t="s">
        <v>396</v>
      </c>
      <c r="V199" s="20" t="s">
        <v>527</v>
      </c>
      <c r="W199" s="20" t="s">
        <v>527</v>
      </c>
      <c r="X199" s="19"/>
      <c r="Y199" s="20" t="n">
        <v>7</v>
      </c>
      <c r="Z199" s="20" t="s">
        <v>76</v>
      </c>
      <c r="AD199" s="20" t="s">
        <v>77</v>
      </c>
      <c r="AF199" s="20" t="s">
        <v>528</v>
      </c>
      <c r="AG199" s="20" t="n">
        <f aca="false">COUNTIF($AF$3:$AF$219,AF199)</f>
        <v>1</v>
      </c>
      <c r="AH199" s="20" t="s">
        <v>527</v>
      </c>
      <c r="AI199" s="19"/>
      <c r="AJ199" s="20" t="s">
        <v>130</v>
      </c>
      <c r="AK199" s="20" t="s">
        <v>46</v>
      </c>
      <c r="AL199" s="23" t="s">
        <v>52</v>
      </c>
      <c r="AM199" s="20" t="s">
        <v>527</v>
      </c>
      <c r="AN199" s="20" t="s">
        <v>131</v>
      </c>
      <c r="AO199" s="20" t="s">
        <v>46</v>
      </c>
      <c r="AP199" s="23" t="s">
        <v>248</v>
      </c>
      <c r="AQ199" s="20" t="s">
        <v>250</v>
      </c>
      <c r="AR199" s="20" t="s">
        <v>131</v>
      </c>
    </row>
    <row r="200" s="20" customFormat="true" ht="24" hidden="false" customHeight="true" outlineLevel="0" collapsed="false">
      <c r="A200" s="20" t="s">
        <v>46</v>
      </c>
      <c r="B200" s="20" t="s">
        <v>46</v>
      </c>
      <c r="C200" s="19" t="s">
        <v>47</v>
      </c>
      <c r="D200" s="18" t="s">
        <v>52</v>
      </c>
      <c r="E200" s="18" t="s">
        <v>44</v>
      </c>
      <c r="F200" s="20" t="s">
        <v>52</v>
      </c>
      <c r="G200" s="19" t="s">
        <v>53</v>
      </c>
      <c r="H200" s="20" t="s">
        <v>48</v>
      </c>
      <c r="S200" s="20" t="s">
        <v>52</v>
      </c>
      <c r="T200" s="20" t="s">
        <v>52</v>
      </c>
      <c r="U200" s="19" t="s">
        <v>396</v>
      </c>
      <c r="V200" s="20" t="s">
        <v>529</v>
      </c>
      <c r="W200" s="20" t="s">
        <v>529</v>
      </c>
      <c r="X200" s="19"/>
      <c r="Y200" s="20" t="n">
        <v>8</v>
      </c>
      <c r="Z200" s="20" t="s">
        <v>76</v>
      </c>
      <c r="AD200" s="20" t="s">
        <v>77</v>
      </c>
      <c r="AF200" s="20" t="s">
        <v>530</v>
      </c>
      <c r="AG200" s="20" t="n">
        <f aca="false">COUNTIF($AF$3:$AF$219,AF200)</f>
        <v>1</v>
      </c>
      <c r="AH200" s="20" t="s">
        <v>529</v>
      </c>
      <c r="AI200" s="19"/>
      <c r="AJ200" s="20" t="s">
        <v>130</v>
      </c>
      <c r="AK200" s="20" t="s">
        <v>46</v>
      </c>
      <c r="AL200" s="23" t="s">
        <v>52</v>
      </c>
      <c r="AM200" s="20" t="s">
        <v>529</v>
      </c>
      <c r="AN200" s="20" t="s">
        <v>131</v>
      </c>
      <c r="AO200" s="20" t="s">
        <v>46</v>
      </c>
      <c r="AP200" s="23" t="s">
        <v>258</v>
      </c>
      <c r="AQ200" s="20" t="s">
        <v>254</v>
      </c>
      <c r="AR200" s="20" t="s">
        <v>131</v>
      </c>
    </row>
    <row r="201" s="20" customFormat="true" ht="24" hidden="false" customHeight="true" outlineLevel="0" collapsed="false">
      <c r="A201" s="20" t="s">
        <v>46</v>
      </c>
      <c r="B201" s="20" t="s">
        <v>46</v>
      </c>
      <c r="C201" s="19" t="s">
        <v>47</v>
      </c>
      <c r="D201" s="18" t="s">
        <v>52</v>
      </c>
      <c r="E201" s="18" t="s">
        <v>44</v>
      </c>
      <c r="F201" s="20" t="s">
        <v>52</v>
      </c>
      <c r="G201" s="19" t="s">
        <v>53</v>
      </c>
      <c r="H201" s="20" t="s">
        <v>48</v>
      </c>
      <c r="S201" s="20" t="s">
        <v>52</v>
      </c>
      <c r="T201" s="20" t="s">
        <v>52</v>
      </c>
      <c r="U201" s="19" t="s">
        <v>396</v>
      </c>
      <c r="V201" s="20" t="s">
        <v>531</v>
      </c>
      <c r="W201" s="20" t="s">
        <v>531</v>
      </c>
      <c r="X201" s="19"/>
      <c r="Y201" s="20" t="n">
        <v>9</v>
      </c>
      <c r="Z201" s="20" t="s">
        <v>76</v>
      </c>
      <c r="AD201" s="20" t="s">
        <v>77</v>
      </c>
      <c r="AF201" s="20" t="s">
        <v>532</v>
      </c>
      <c r="AG201" s="20" t="n">
        <f aca="false">COUNTIF($AF$3:$AF$219,AF201)</f>
        <v>1</v>
      </c>
      <c r="AH201" s="20" t="s">
        <v>531</v>
      </c>
      <c r="AI201" s="19"/>
      <c r="AJ201" s="20" t="s">
        <v>130</v>
      </c>
      <c r="AK201" s="20" t="s">
        <v>46</v>
      </c>
      <c r="AL201" s="23" t="s">
        <v>52</v>
      </c>
      <c r="AM201" s="20" t="s">
        <v>531</v>
      </c>
      <c r="AN201" s="20" t="s">
        <v>131</v>
      </c>
      <c r="AO201" s="20" t="s">
        <v>46</v>
      </c>
      <c r="AP201" s="23" t="s">
        <v>248</v>
      </c>
      <c r="AQ201" s="20" t="s">
        <v>250</v>
      </c>
      <c r="AR201" s="20" t="s">
        <v>131</v>
      </c>
    </row>
    <row r="202" s="20" customFormat="true" ht="24" hidden="false" customHeight="true" outlineLevel="0" collapsed="false">
      <c r="A202" s="20" t="s">
        <v>46</v>
      </c>
      <c r="B202" s="20" t="s">
        <v>46</v>
      </c>
      <c r="C202" s="19" t="s">
        <v>47</v>
      </c>
      <c r="D202" s="18" t="s">
        <v>52</v>
      </c>
      <c r="E202" s="18" t="s">
        <v>44</v>
      </c>
      <c r="F202" s="20" t="s">
        <v>52</v>
      </c>
      <c r="G202" s="19" t="s">
        <v>53</v>
      </c>
      <c r="H202" s="20" t="s">
        <v>48</v>
      </c>
      <c r="S202" s="20" t="s">
        <v>52</v>
      </c>
      <c r="T202" s="20" t="s">
        <v>52</v>
      </c>
      <c r="U202" s="19" t="s">
        <v>396</v>
      </c>
      <c r="V202" s="20" t="s">
        <v>533</v>
      </c>
      <c r="W202" s="20" t="s">
        <v>533</v>
      </c>
      <c r="X202" s="19"/>
      <c r="Y202" s="20" t="n">
        <v>10</v>
      </c>
      <c r="Z202" s="20" t="s">
        <v>76</v>
      </c>
      <c r="AD202" s="20" t="s">
        <v>77</v>
      </c>
      <c r="AF202" s="20" t="s">
        <v>534</v>
      </c>
      <c r="AG202" s="20" t="n">
        <f aca="false">COUNTIF($AF$3:$AF$219,AF202)</f>
        <v>1</v>
      </c>
      <c r="AH202" s="20" t="s">
        <v>533</v>
      </c>
      <c r="AI202" s="19"/>
      <c r="AJ202" s="20" t="s">
        <v>130</v>
      </c>
      <c r="AK202" s="20" t="s">
        <v>46</v>
      </c>
      <c r="AL202" s="23" t="s">
        <v>52</v>
      </c>
      <c r="AM202" s="20" t="s">
        <v>533</v>
      </c>
      <c r="AN202" s="20" t="s">
        <v>131</v>
      </c>
      <c r="AO202" s="20" t="s">
        <v>46</v>
      </c>
      <c r="AP202" s="23" t="s">
        <v>258</v>
      </c>
      <c r="AQ202" s="20" t="s">
        <v>254</v>
      </c>
      <c r="AR202" s="20" t="s">
        <v>131</v>
      </c>
    </row>
    <row r="203" s="20" customFormat="true" ht="24" hidden="false" customHeight="true" outlineLevel="0" collapsed="false">
      <c r="A203" s="20" t="s">
        <v>46</v>
      </c>
      <c r="B203" s="20" t="s">
        <v>46</v>
      </c>
      <c r="C203" s="19" t="s">
        <v>47</v>
      </c>
      <c r="D203" s="18" t="s">
        <v>52</v>
      </c>
      <c r="E203" s="18" t="s">
        <v>44</v>
      </c>
      <c r="F203" s="20" t="s">
        <v>52</v>
      </c>
      <c r="G203" s="19" t="s">
        <v>53</v>
      </c>
      <c r="H203" s="20" t="s">
        <v>48</v>
      </c>
      <c r="S203" s="20" t="s">
        <v>52</v>
      </c>
      <c r="T203" s="20" t="s">
        <v>52</v>
      </c>
      <c r="U203" s="19" t="s">
        <v>396</v>
      </c>
      <c r="V203" s="20" t="s">
        <v>535</v>
      </c>
      <c r="W203" s="19" t="s">
        <v>535</v>
      </c>
      <c r="X203" s="19"/>
      <c r="Y203" s="20" t="n">
        <v>11</v>
      </c>
      <c r="Z203" s="20" t="s">
        <v>76</v>
      </c>
      <c r="AB203" s="20" t="s">
        <v>536</v>
      </c>
      <c r="AD203" s="20" t="s">
        <v>77</v>
      </c>
      <c r="AF203" s="20" t="s">
        <v>537</v>
      </c>
      <c r="AG203" s="20" t="n">
        <f aca="false">COUNTIF($AF$3:$AF$219,AF203)</f>
        <v>1</v>
      </c>
      <c r="AH203" s="20" t="s">
        <v>538</v>
      </c>
      <c r="AI203" s="19"/>
      <c r="AJ203" s="20" t="s">
        <v>130</v>
      </c>
      <c r="AK203" s="20" t="s">
        <v>46</v>
      </c>
      <c r="AL203" s="23" t="s">
        <v>52</v>
      </c>
      <c r="AM203" s="20" t="s">
        <v>535</v>
      </c>
      <c r="AN203" s="20" t="s">
        <v>131</v>
      </c>
      <c r="AO203" s="20" t="s">
        <v>46</v>
      </c>
      <c r="AP203" s="23" t="s">
        <v>58</v>
      </c>
      <c r="AQ203" s="20" t="s">
        <v>158</v>
      </c>
      <c r="AR203" s="20" t="s">
        <v>131</v>
      </c>
    </row>
    <row r="204" s="20" customFormat="true" ht="24" hidden="false" customHeight="true" outlineLevel="0" collapsed="false">
      <c r="A204" s="20" t="s">
        <v>46</v>
      </c>
      <c r="B204" s="20" t="s">
        <v>46</v>
      </c>
      <c r="C204" s="19" t="s">
        <v>47</v>
      </c>
      <c r="D204" s="18" t="s">
        <v>52</v>
      </c>
      <c r="E204" s="18" t="s">
        <v>44</v>
      </c>
      <c r="F204" s="20" t="s">
        <v>52</v>
      </c>
      <c r="G204" s="19" t="s">
        <v>53</v>
      </c>
      <c r="H204" s="20" t="s">
        <v>48</v>
      </c>
      <c r="S204" s="20" t="s">
        <v>52</v>
      </c>
      <c r="T204" s="20" t="s">
        <v>52</v>
      </c>
      <c r="U204" s="19" t="s">
        <v>396</v>
      </c>
      <c r="V204" s="20" t="s">
        <v>539</v>
      </c>
      <c r="W204" s="19" t="s">
        <v>539</v>
      </c>
      <c r="X204" s="19"/>
      <c r="Y204" s="20" t="n">
        <v>12</v>
      </c>
      <c r="Z204" s="20" t="s">
        <v>76</v>
      </c>
      <c r="AB204" s="20" t="s">
        <v>536</v>
      </c>
      <c r="AD204" s="20" t="s">
        <v>77</v>
      </c>
      <c r="AF204" s="20" t="s">
        <v>540</v>
      </c>
      <c r="AG204" s="20" t="n">
        <f aca="false">COUNTIF($AF$3:$AF$219,AF204)</f>
        <v>1</v>
      </c>
      <c r="AH204" s="20" t="s">
        <v>541</v>
      </c>
      <c r="AI204" s="19"/>
      <c r="AJ204" s="20" t="s">
        <v>130</v>
      </c>
      <c r="AK204" s="20" t="s">
        <v>46</v>
      </c>
      <c r="AL204" s="23" t="s">
        <v>52</v>
      </c>
      <c r="AM204" s="20" t="s">
        <v>539</v>
      </c>
      <c r="AN204" s="20" t="s">
        <v>131</v>
      </c>
      <c r="AO204" s="20" t="s">
        <v>46</v>
      </c>
      <c r="AP204" s="23" t="s">
        <v>58</v>
      </c>
      <c r="AQ204" s="20" t="s">
        <v>158</v>
      </c>
      <c r="AR204" s="20" t="s">
        <v>131</v>
      </c>
    </row>
    <row r="205" s="20" customFormat="true" ht="24" hidden="false" customHeight="true" outlineLevel="0" collapsed="false">
      <c r="A205" s="20" t="s">
        <v>46</v>
      </c>
      <c r="B205" s="20" t="s">
        <v>46</v>
      </c>
      <c r="C205" s="19" t="s">
        <v>47</v>
      </c>
      <c r="D205" s="18" t="s">
        <v>52</v>
      </c>
      <c r="E205" s="18" t="s">
        <v>44</v>
      </c>
      <c r="F205" s="20" t="s">
        <v>52</v>
      </c>
      <c r="G205" s="19" t="s">
        <v>53</v>
      </c>
      <c r="H205" s="20" t="s">
        <v>48</v>
      </c>
      <c r="S205" s="20" t="s">
        <v>52</v>
      </c>
      <c r="T205" s="20" t="s">
        <v>52</v>
      </c>
      <c r="U205" s="19" t="s">
        <v>396</v>
      </c>
      <c r="V205" s="20" t="s">
        <v>542</v>
      </c>
      <c r="W205" s="19" t="s">
        <v>542</v>
      </c>
      <c r="X205" s="19"/>
      <c r="Y205" s="20" t="n">
        <v>13</v>
      </c>
      <c r="Z205" s="20" t="s">
        <v>76</v>
      </c>
      <c r="AB205" s="20" t="s">
        <v>536</v>
      </c>
      <c r="AD205" s="20" t="s">
        <v>77</v>
      </c>
      <c r="AF205" s="20" t="s">
        <v>543</v>
      </c>
      <c r="AG205" s="20" t="n">
        <f aca="false">COUNTIF($AF$3:$AF$219,AF205)</f>
        <v>1</v>
      </c>
      <c r="AH205" s="20" t="s">
        <v>544</v>
      </c>
      <c r="AI205" s="19"/>
      <c r="AJ205" s="20" t="s">
        <v>130</v>
      </c>
      <c r="AK205" s="20" t="s">
        <v>46</v>
      </c>
      <c r="AL205" s="23" t="s">
        <v>52</v>
      </c>
      <c r="AM205" s="20" t="s">
        <v>542</v>
      </c>
      <c r="AN205" s="20" t="s">
        <v>131</v>
      </c>
      <c r="AO205" s="20" t="s">
        <v>46</v>
      </c>
      <c r="AP205" s="23" t="s">
        <v>58</v>
      </c>
      <c r="AQ205" s="20" t="s">
        <v>158</v>
      </c>
      <c r="AR205" s="20" t="s">
        <v>131</v>
      </c>
    </row>
    <row r="206" s="20" customFormat="true" ht="24" hidden="false" customHeight="true" outlineLevel="0" collapsed="false">
      <c r="A206" s="20" t="s">
        <v>46</v>
      </c>
      <c r="B206" s="20" t="s">
        <v>46</v>
      </c>
      <c r="C206" s="19" t="s">
        <v>47</v>
      </c>
      <c r="D206" s="18" t="s">
        <v>52</v>
      </c>
      <c r="E206" s="18" t="s">
        <v>44</v>
      </c>
      <c r="F206" s="20" t="s">
        <v>52</v>
      </c>
      <c r="G206" s="19" t="s">
        <v>53</v>
      </c>
      <c r="H206" s="20" t="s">
        <v>48</v>
      </c>
      <c r="S206" s="20" t="s">
        <v>52</v>
      </c>
      <c r="T206" s="20" t="s">
        <v>52</v>
      </c>
      <c r="U206" s="19" t="s">
        <v>396</v>
      </c>
      <c r="V206" s="20" t="s">
        <v>545</v>
      </c>
      <c r="W206" s="19" t="s">
        <v>545</v>
      </c>
      <c r="X206" s="19" t="s">
        <v>546</v>
      </c>
      <c r="Y206" s="20" t="n">
        <v>40</v>
      </c>
      <c r="Z206" s="20" t="s">
        <v>81</v>
      </c>
      <c r="AB206" s="20" t="s">
        <v>547</v>
      </c>
      <c r="AD206" s="20" t="s">
        <v>77</v>
      </c>
      <c r="AG206" s="20" t="n">
        <f aca="false">COUNTIF($AF$3:$AF$219,AF206)</f>
        <v>0</v>
      </c>
      <c r="AI206" s="19"/>
    </row>
    <row r="207" s="20" customFormat="true" ht="24" hidden="false" customHeight="true" outlineLevel="0" collapsed="false">
      <c r="A207" s="20" t="s">
        <v>46</v>
      </c>
      <c r="B207" s="20" t="s">
        <v>46</v>
      </c>
      <c r="C207" s="19" t="s">
        <v>47</v>
      </c>
      <c r="D207" s="18" t="s">
        <v>52</v>
      </c>
      <c r="E207" s="18" t="s">
        <v>44</v>
      </c>
      <c r="F207" s="20" t="s">
        <v>52</v>
      </c>
      <c r="G207" s="19" t="s">
        <v>53</v>
      </c>
      <c r="H207" s="20" t="s">
        <v>48</v>
      </c>
      <c r="S207" s="20" t="s">
        <v>52</v>
      </c>
      <c r="T207" s="20" t="s">
        <v>52</v>
      </c>
      <c r="U207" s="19" t="s">
        <v>396</v>
      </c>
      <c r="V207" s="20" t="s">
        <v>548</v>
      </c>
      <c r="W207" s="19" t="s">
        <v>548</v>
      </c>
      <c r="X207" s="19" t="s">
        <v>549</v>
      </c>
      <c r="Y207" s="20" t="n">
        <v>14</v>
      </c>
      <c r="Z207" s="20" t="s">
        <v>81</v>
      </c>
      <c r="AB207" s="20" t="s">
        <v>550</v>
      </c>
      <c r="AD207" s="20" t="s">
        <v>78</v>
      </c>
      <c r="AG207" s="20" t="n">
        <v>0</v>
      </c>
      <c r="AI207" s="19"/>
      <c r="AL207" s="23"/>
      <c r="AP207" s="23"/>
    </row>
    <row r="208" s="20" customFormat="true" ht="24" hidden="false" customHeight="true" outlineLevel="0" collapsed="false">
      <c r="A208" s="20" t="s">
        <v>46</v>
      </c>
      <c r="B208" s="20" t="s">
        <v>46</v>
      </c>
      <c r="C208" s="19" t="s">
        <v>47</v>
      </c>
      <c r="D208" s="18" t="s">
        <v>52</v>
      </c>
      <c r="E208" s="18" t="s">
        <v>44</v>
      </c>
      <c r="F208" s="20" t="s">
        <v>52</v>
      </c>
      <c r="G208" s="19" t="s">
        <v>53</v>
      </c>
      <c r="H208" s="20" t="s">
        <v>48</v>
      </c>
      <c r="S208" s="20" t="s">
        <v>52</v>
      </c>
      <c r="T208" s="20" t="s">
        <v>52</v>
      </c>
      <c r="U208" s="19" t="s">
        <v>396</v>
      </c>
      <c r="V208" s="20" t="s">
        <v>551</v>
      </c>
      <c r="W208" s="19" t="s">
        <v>551</v>
      </c>
      <c r="X208" s="19" t="s">
        <v>552</v>
      </c>
      <c r="Y208" s="20" t="n">
        <v>15</v>
      </c>
      <c r="Z208" s="20" t="s">
        <v>81</v>
      </c>
      <c r="AB208" s="20" t="s">
        <v>512</v>
      </c>
      <c r="AD208" s="20" t="s">
        <v>78</v>
      </c>
      <c r="AG208" s="20" t="n">
        <v>0</v>
      </c>
      <c r="AI208" s="19"/>
      <c r="AL208" s="23"/>
      <c r="AP208" s="23"/>
    </row>
    <row r="209" s="17" customFormat="true" ht="24" hidden="false" customHeight="true" outlineLevel="0" collapsed="false">
      <c r="A209" s="17" t="s">
        <v>46</v>
      </c>
      <c r="B209" s="17" t="s">
        <v>46</v>
      </c>
      <c r="C209" s="3" t="s">
        <v>47</v>
      </c>
      <c r="D209" s="18" t="s">
        <v>52</v>
      </c>
      <c r="E209" s="18" t="s">
        <v>44</v>
      </c>
      <c r="F209" s="17" t="s">
        <v>52</v>
      </c>
      <c r="G209" s="3" t="s">
        <v>53</v>
      </c>
      <c r="H209" s="20" t="s">
        <v>48</v>
      </c>
      <c r="S209" s="17" t="s">
        <v>553</v>
      </c>
      <c r="T209" s="17" t="s">
        <v>553</v>
      </c>
      <c r="U209" s="3" t="s">
        <v>554</v>
      </c>
      <c r="V209" s="17" t="s">
        <v>555</v>
      </c>
      <c r="W209" s="17" t="s">
        <v>555</v>
      </c>
      <c r="X209" s="3" t="s">
        <v>75</v>
      </c>
      <c r="Y209" s="17" t="n">
        <v>0</v>
      </c>
      <c r="Z209" s="17" t="s">
        <v>76</v>
      </c>
      <c r="AD209" s="17" t="s">
        <v>77</v>
      </c>
      <c r="AE209" s="17" t="s">
        <v>78</v>
      </c>
      <c r="AG209" s="17" t="n">
        <f aca="false">COUNTIF($AF$3:$AF$219,AF209)</f>
        <v>0</v>
      </c>
      <c r="AI209" s="3"/>
    </row>
    <row r="210" s="17" customFormat="true" ht="24" hidden="false" customHeight="true" outlineLevel="0" collapsed="false">
      <c r="A210" s="17" t="s">
        <v>46</v>
      </c>
      <c r="B210" s="17" t="s">
        <v>46</v>
      </c>
      <c r="C210" s="3" t="s">
        <v>47</v>
      </c>
      <c r="D210" s="18" t="s">
        <v>52</v>
      </c>
      <c r="E210" s="18" t="s">
        <v>44</v>
      </c>
      <c r="F210" s="17" t="s">
        <v>52</v>
      </c>
      <c r="G210" s="3" t="s">
        <v>53</v>
      </c>
      <c r="H210" s="20" t="s">
        <v>48</v>
      </c>
      <c r="S210" s="17" t="s">
        <v>553</v>
      </c>
      <c r="T210" s="17" t="s">
        <v>553</v>
      </c>
      <c r="U210" s="3" t="s">
        <v>554</v>
      </c>
      <c r="V210" s="17" t="s">
        <v>556</v>
      </c>
      <c r="W210" s="17" t="s">
        <v>556</v>
      </c>
      <c r="X210" s="3" t="s">
        <v>557</v>
      </c>
      <c r="Y210" s="17" t="n">
        <v>1</v>
      </c>
      <c r="Z210" s="17" t="s">
        <v>81</v>
      </c>
      <c r="AD210" s="17" t="s">
        <v>77</v>
      </c>
      <c r="AG210" s="17" t="n">
        <f aca="false">COUNTIF($AF$3:$AF$219,AF210)</f>
        <v>0</v>
      </c>
      <c r="AI210" s="3"/>
    </row>
    <row r="211" s="17" customFormat="true" ht="24" hidden="false" customHeight="true" outlineLevel="0" collapsed="false">
      <c r="A211" s="17" t="s">
        <v>46</v>
      </c>
      <c r="B211" s="17" t="s">
        <v>46</v>
      </c>
      <c r="C211" s="3" t="s">
        <v>47</v>
      </c>
      <c r="D211" s="18" t="s">
        <v>52</v>
      </c>
      <c r="E211" s="18" t="s">
        <v>44</v>
      </c>
      <c r="F211" s="17" t="s">
        <v>52</v>
      </c>
      <c r="G211" s="3" t="s">
        <v>53</v>
      </c>
      <c r="H211" s="20" t="s">
        <v>48</v>
      </c>
      <c r="S211" s="17" t="s">
        <v>553</v>
      </c>
      <c r="T211" s="17" t="s">
        <v>553</v>
      </c>
      <c r="U211" s="3" t="s">
        <v>554</v>
      </c>
      <c r="V211" s="17" t="s">
        <v>558</v>
      </c>
      <c r="W211" s="17" t="s">
        <v>558</v>
      </c>
      <c r="X211" s="3" t="s">
        <v>559</v>
      </c>
      <c r="Y211" s="17" t="n">
        <v>2</v>
      </c>
      <c r="Z211" s="17" t="s">
        <v>81</v>
      </c>
      <c r="AD211" s="17" t="s">
        <v>77</v>
      </c>
      <c r="AG211" s="17" t="n">
        <f aca="false">COUNTIF($AF$3:$AF$219,AF211)</f>
        <v>0</v>
      </c>
      <c r="AI211" s="3"/>
    </row>
    <row r="212" s="17" customFormat="true" ht="24" hidden="false" customHeight="true" outlineLevel="0" collapsed="false">
      <c r="A212" s="17" t="s">
        <v>46</v>
      </c>
      <c r="B212" s="17" t="s">
        <v>46</v>
      </c>
      <c r="C212" s="3" t="s">
        <v>47</v>
      </c>
      <c r="D212" s="18" t="s">
        <v>52</v>
      </c>
      <c r="E212" s="18" t="s">
        <v>44</v>
      </c>
      <c r="F212" s="17" t="s">
        <v>52</v>
      </c>
      <c r="G212" s="3" t="s">
        <v>53</v>
      </c>
      <c r="H212" s="20" t="s">
        <v>48</v>
      </c>
      <c r="S212" s="17" t="s">
        <v>553</v>
      </c>
      <c r="T212" s="17" t="s">
        <v>553</v>
      </c>
      <c r="U212" s="3" t="s">
        <v>554</v>
      </c>
      <c r="V212" s="17" t="s">
        <v>273</v>
      </c>
      <c r="W212" s="17" t="s">
        <v>273</v>
      </c>
      <c r="X212" s="3" t="s">
        <v>560</v>
      </c>
      <c r="Y212" s="17" t="n">
        <v>3</v>
      </c>
      <c r="Z212" s="17" t="s">
        <v>76</v>
      </c>
      <c r="AD212" s="17" t="s">
        <v>77</v>
      </c>
      <c r="AF212" s="17" t="s">
        <v>561</v>
      </c>
      <c r="AG212" s="17" t="n">
        <f aca="false">COUNTIF($AF$3:$AF$219,AF212)</f>
        <v>1</v>
      </c>
      <c r="AH212" s="17" t="s">
        <v>562</v>
      </c>
      <c r="AI212" s="3"/>
      <c r="AJ212" s="17" t="s">
        <v>130</v>
      </c>
      <c r="AK212" s="17" t="s">
        <v>46</v>
      </c>
      <c r="AL212" s="4" t="s">
        <v>553</v>
      </c>
      <c r="AM212" s="17" t="s">
        <v>273</v>
      </c>
      <c r="AN212" s="17" t="s">
        <v>163</v>
      </c>
      <c r="AO212" s="17" t="s">
        <v>46</v>
      </c>
      <c r="AP212" s="4" t="s">
        <v>52</v>
      </c>
      <c r="AQ212" s="17" t="s">
        <v>273</v>
      </c>
      <c r="AR212" s="17" t="s">
        <v>131</v>
      </c>
    </row>
    <row r="213" s="24" customFormat="true" ht="24" hidden="false" customHeight="true" outlineLevel="0" collapsed="false">
      <c r="A213" s="20" t="s">
        <v>46</v>
      </c>
      <c r="B213" s="20" t="s">
        <v>46</v>
      </c>
      <c r="C213" s="19" t="s">
        <v>47</v>
      </c>
      <c r="D213" s="18" t="s">
        <v>52</v>
      </c>
      <c r="E213" s="18" t="s">
        <v>44</v>
      </c>
      <c r="F213" s="20" t="s">
        <v>52</v>
      </c>
      <c r="G213" s="19" t="s">
        <v>53</v>
      </c>
      <c r="H213" s="20" t="s">
        <v>48</v>
      </c>
      <c r="S213" s="24" t="s">
        <v>563</v>
      </c>
      <c r="T213" s="24" t="s">
        <v>563</v>
      </c>
      <c r="U213" s="19" t="s">
        <v>564</v>
      </c>
      <c r="V213" s="24" t="s">
        <v>565</v>
      </c>
      <c r="W213" s="24" t="s">
        <v>565</v>
      </c>
      <c r="X213" s="19" t="s">
        <v>75</v>
      </c>
      <c r="Y213" s="24" t="n">
        <v>0</v>
      </c>
      <c r="Z213" s="24" t="s">
        <v>76</v>
      </c>
      <c r="AD213" s="20" t="s">
        <v>77</v>
      </c>
      <c r="AE213" s="24" t="s">
        <v>78</v>
      </c>
      <c r="AG213" s="20" t="n">
        <f aca="false">COUNTIF($AF$3:$AF$219,AF213)</f>
        <v>0</v>
      </c>
      <c r="AI213" s="19"/>
    </row>
    <row r="214" s="24" customFormat="true" ht="24" hidden="false" customHeight="true" outlineLevel="0" collapsed="false">
      <c r="A214" s="20" t="s">
        <v>46</v>
      </c>
      <c r="B214" s="20" t="s">
        <v>46</v>
      </c>
      <c r="C214" s="19" t="s">
        <v>47</v>
      </c>
      <c r="D214" s="18" t="s">
        <v>52</v>
      </c>
      <c r="E214" s="18" t="s">
        <v>44</v>
      </c>
      <c r="F214" s="20" t="s">
        <v>52</v>
      </c>
      <c r="G214" s="19" t="s">
        <v>53</v>
      </c>
      <c r="H214" s="20" t="s">
        <v>48</v>
      </c>
      <c r="S214" s="24" t="s">
        <v>563</v>
      </c>
      <c r="T214" s="24" t="s">
        <v>563</v>
      </c>
      <c r="U214" s="19" t="s">
        <v>564</v>
      </c>
      <c r="V214" s="20" t="s">
        <v>270</v>
      </c>
      <c r="W214" s="20" t="s">
        <v>270</v>
      </c>
      <c r="X214" s="19" t="s">
        <v>566</v>
      </c>
      <c r="Y214" s="24" t="n">
        <v>1</v>
      </c>
      <c r="Z214" s="24" t="s">
        <v>76</v>
      </c>
      <c r="AD214" s="20" t="s">
        <v>77</v>
      </c>
      <c r="AF214" s="24" t="s">
        <v>567</v>
      </c>
      <c r="AG214" s="20" t="n">
        <f aca="false">COUNTIF($AF$3:$AF$219,AF214)</f>
        <v>1</v>
      </c>
      <c r="AH214" s="24" t="s">
        <v>568</v>
      </c>
      <c r="AI214" s="19"/>
      <c r="AJ214" s="20" t="s">
        <v>130</v>
      </c>
      <c r="AK214" s="20" t="s">
        <v>46</v>
      </c>
      <c r="AL214" s="23" t="s">
        <v>563</v>
      </c>
      <c r="AM214" s="20" t="s">
        <v>270</v>
      </c>
      <c r="AN214" s="24" t="s">
        <v>163</v>
      </c>
      <c r="AO214" s="20" t="s">
        <v>46</v>
      </c>
      <c r="AP214" s="23" t="s">
        <v>268</v>
      </c>
      <c r="AQ214" s="20" t="s">
        <v>270</v>
      </c>
      <c r="AR214" s="24" t="s">
        <v>131</v>
      </c>
    </row>
    <row r="215" s="24" customFormat="true" ht="24" hidden="false" customHeight="true" outlineLevel="0" collapsed="false">
      <c r="A215" s="20" t="s">
        <v>46</v>
      </c>
      <c r="B215" s="20" t="s">
        <v>46</v>
      </c>
      <c r="C215" s="19" t="s">
        <v>47</v>
      </c>
      <c r="D215" s="18" t="s">
        <v>52</v>
      </c>
      <c r="E215" s="18" t="s">
        <v>44</v>
      </c>
      <c r="F215" s="20" t="s">
        <v>52</v>
      </c>
      <c r="G215" s="19" t="s">
        <v>53</v>
      </c>
      <c r="H215" s="20" t="s">
        <v>48</v>
      </c>
      <c r="S215" s="24" t="s">
        <v>563</v>
      </c>
      <c r="T215" s="24" t="s">
        <v>563</v>
      </c>
      <c r="U215" s="19" t="s">
        <v>564</v>
      </c>
      <c r="V215" s="20" t="s">
        <v>273</v>
      </c>
      <c r="W215" s="20" t="s">
        <v>273</v>
      </c>
      <c r="X215" s="19" t="s">
        <v>569</v>
      </c>
      <c r="Y215" s="24" t="n">
        <v>2</v>
      </c>
      <c r="Z215" s="24" t="s">
        <v>76</v>
      </c>
      <c r="AD215" s="20" t="s">
        <v>77</v>
      </c>
      <c r="AF215" s="24" t="s">
        <v>570</v>
      </c>
      <c r="AG215" s="20" t="n">
        <f aca="false">COUNTIF($AF$3:$AF$219,AF215)</f>
        <v>1</v>
      </c>
      <c r="AH215" s="24" t="s">
        <v>400</v>
      </c>
      <c r="AI215" s="19"/>
      <c r="AJ215" s="20" t="s">
        <v>130</v>
      </c>
      <c r="AK215" s="20" t="s">
        <v>46</v>
      </c>
      <c r="AL215" s="23" t="s">
        <v>563</v>
      </c>
      <c r="AM215" s="20" t="s">
        <v>273</v>
      </c>
      <c r="AN215" s="24" t="s">
        <v>163</v>
      </c>
      <c r="AO215" s="20" t="s">
        <v>46</v>
      </c>
      <c r="AP215" s="23" t="s">
        <v>52</v>
      </c>
      <c r="AQ215" s="20" t="s">
        <v>273</v>
      </c>
      <c r="AR215" s="24" t="s">
        <v>131</v>
      </c>
    </row>
    <row r="216" s="1" customFormat="true" ht="24" hidden="false" customHeight="true" outlineLevel="0" collapsed="false">
      <c r="A216" s="17" t="s">
        <v>46</v>
      </c>
      <c r="B216" s="17" t="s">
        <v>46</v>
      </c>
      <c r="C216" s="3" t="s">
        <v>47</v>
      </c>
      <c r="D216" s="18" t="s">
        <v>63</v>
      </c>
      <c r="E216" s="18" t="s">
        <v>44</v>
      </c>
      <c r="F216" s="17" t="s">
        <v>64</v>
      </c>
      <c r="G216" s="3" t="s">
        <v>65</v>
      </c>
      <c r="H216" s="20" t="s">
        <v>48</v>
      </c>
      <c r="S216" s="1" t="s">
        <v>571</v>
      </c>
      <c r="T216" s="1" t="s">
        <v>571</v>
      </c>
      <c r="U216" s="2" t="s">
        <v>572</v>
      </c>
      <c r="V216" s="17" t="s">
        <v>573</v>
      </c>
      <c r="W216" s="17" t="s">
        <v>573</v>
      </c>
      <c r="X216" s="3" t="s">
        <v>75</v>
      </c>
      <c r="Y216" s="1" t="n">
        <v>0</v>
      </c>
      <c r="Z216" s="1" t="s">
        <v>76</v>
      </c>
      <c r="AD216" s="17" t="s">
        <v>77</v>
      </c>
      <c r="AE216" s="1" t="s">
        <v>78</v>
      </c>
      <c r="AG216" s="17" t="n">
        <f aca="false">COUNTIF($AF$3:$AF$219,AF216)</f>
        <v>0</v>
      </c>
      <c r="AI216" s="2"/>
      <c r="AJ216" s="17"/>
      <c r="AK216" s="17"/>
      <c r="AM216" s="17"/>
      <c r="AO216" s="17"/>
      <c r="AQ216" s="17"/>
    </row>
    <row r="217" customFormat="false" ht="24" hidden="false" customHeight="true" outlineLevel="0" collapsed="false">
      <c r="A217" s="17" t="s">
        <v>46</v>
      </c>
      <c r="B217" s="17" t="s">
        <v>46</v>
      </c>
      <c r="C217" s="3" t="s">
        <v>47</v>
      </c>
      <c r="D217" s="18" t="s">
        <v>63</v>
      </c>
      <c r="E217" s="18" t="s">
        <v>44</v>
      </c>
      <c r="F217" s="17" t="s">
        <v>64</v>
      </c>
      <c r="G217" s="3" t="s">
        <v>65</v>
      </c>
      <c r="H217" s="20" t="s">
        <v>48</v>
      </c>
      <c r="S217" s="1" t="s">
        <v>571</v>
      </c>
      <c r="T217" s="1" t="s">
        <v>571</v>
      </c>
      <c r="U217" s="2" t="s">
        <v>572</v>
      </c>
      <c r="V217" s="17" t="s">
        <v>250</v>
      </c>
      <c r="W217" s="17" t="s">
        <v>250</v>
      </c>
      <c r="Y217" s="1" t="n">
        <v>1</v>
      </c>
      <c r="Z217" s="1" t="s">
        <v>76</v>
      </c>
      <c r="AD217" s="17" t="s">
        <v>77</v>
      </c>
      <c r="AE217" s="17"/>
      <c r="AF217" s="17" t="s">
        <v>574</v>
      </c>
      <c r="AG217" s="17" t="n">
        <f aca="false">COUNTIF($AF$3:$AF$219,AF217)</f>
        <v>1</v>
      </c>
      <c r="AH217" s="17" t="s">
        <v>575</v>
      </c>
      <c r="AI217" s="3"/>
      <c r="AJ217" s="17" t="s">
        <v>130</v>
      </c>
      <c r="AK217" s="17" t="s">
        <v>46</v>
      </c>
      <c r="AL217" s="4" t="s">
        <v>571</v>
      </c>
      <c r="AM217" s="17" t="s">
        <v>250</v>
      </c>
      <c r="AN217" s="17" t="s">
        <v>163</v>
      </c>
      <c r="AO217" s="17" t="s">
        <v>46</v>
      </c>
      <c r="AP217" s="4" t="s">
        <v>248</v>
      </c>
      <c r="AQ217" s="17" t="s">
        <v>250</v>
      </c>
      <c r="AR217" s="17" t="s">
        <v>131</v>
      </c>
    </row>
    <row r="218" customFormat="false" ht="24" hidden="false" customHeight="true" outlineLevel="0" collapsed="false">
      <c r="A218" s="17" t="s">
        <v>46</v>
      </c>
      <c r="B218" s="17" t="s">
        <v>46</v>
      </c>
      <c r="C218" s="3" t="s">
        <v>47</v>
      </c>
      <c r="D218" s="18" t="s">
        <v>63</v>
      </c>
      <c r="E218" s="18" t="s">
        <v>44</v>
      </c>
      <c r="F218" s="17" t="s">
        <v>64</v>
      </c>
      <c r="G218" s="3" t="s">
        <v>65</v>
      </c>
      <c r="H218" s="20" t="s">
        <v>48</v>
      </c>
      <c r="S218" s="1" t="s">
        <v>571</v>
      </c>
      <c r="T218" s="1" t="s">
        <v>571</v>
      </c>
      <c r="U218" s="2" t="s">
        <v>572</v>
      </c>
      <c r="V218" s="17" t="s">
        <v>202</v>
      </c>
      <c r="W218" s="17" t="s">
        <v>202</v>
      </c>
      <c r="Y218" s="1" t="n">
        <v>2</v>
      </c>
      <c r="Z218" s="1" t="s">
        <v>76</v>
      </c>
      <c r="AD218" s="17" t="s">
        <v>77</v>
      </c>
      <c r="AF218" s="17" t="s">
        <v>576</v>
      </c>
      <c r="AG218" s="17" t="n">
        <f aca="false">COUNTIF($AF$3:$AF$219,AF218)</f>
        <v>1</v>
      </c>
      <c r="AH218" s="17" t="s">
        <v>577</v>
      </c>
      <c r="AI218" s="3"/>
      <c r="AJ218" s="17" t="s">
        <v>130</v>
      </c>
      <c r="AK218" s="17" t="s">
        <v>46</v>
      </c>
      <c r="AL218" s="4" t="s">
        <v>571</v>
      </c>
      <c r="AM218" s="17" t="s">
        <v>202</v>
      </c>
      <c r="AN218" s="17" t="s">
        <v>163</v>
      </c>
      <c r="AO218" s="17" t="s">
        <v>46</v>
      </c>
      <c r="AP218" s="4" t="s">
        <v>64</v>
      </c>
      <c r="AQ218" s="17" t="s">
        <v>202</v>
      </c>
      <c r="AR218" s="17" t="s">
        <v>131</v>
      </c>
    </row>
    <row r="219" s="20" customFormat="true" ht="24" hidden="false" customHeight="true" outlineLevel="0" collapsed="false">
      <c r="A219" s="20" t="s">
        <v>46</v>
      </c>
      <c r="B219" s="20" t="s">
        <v>46</v>
      </c>
      <c r="C219" s="19" t="s">
        <v>47</v>
      </c>
      <c r="D219" s="18" t="s">
        <v>66</v>
      </c>
      <c r="E219" s="18" t="s">
        <v>44</v>
      </c>
      <c r="F219" s="20" t="s">
        <v>67</v>
      </c>
      <c r="G219" s="19" t="s">
        <v>68</v>
      </c>
      <c r="H219" s="20" t="s">
        <v>48</v>
      </c>
      <c r="S219" s="20" t="s">
        <v>578</v>
      </c>
      <c r="T219" s="20" t="s">
        <v>579</v>
      </c>
      <c r="U219" s="19" t="s">
        <v>580</v>
      </c>
      <c r="W219" s="19"/>
      <c r="X219" s="19"/>
      <c r="AG219" s="20" t="n">
        <f aca="false">COUNTIF($AF$3:$AF$219,AF219)</f>
        <v>0</v>
      </c>
      <c r="AI219" s="19"/>
    </row>
  </sheetData>
  <autoFilter ref="A1:AR21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70703125" defaultRowHeight="12" zeroHeight="false" outlineLevelRow="0" outlineLevelCol="0"/>
  <cols>
    <col collapsed="false" customWidth="true" hidden="false" outlineLevel="0" max="1" min="1" style="0" width="19.27"/>
    <col collapsed="false" customWidth="true" hidden="false" outlineLevel="0" max="2" min="2" style="0" width="45.64"/>
  </cols>
  <sheetData>
    <row r="1" customFormat="false" ht="12" hidden="false" customHeight="false" outlineLevel="0" collapsed="false">
      <c r="A1" s="0" t="s">
        <v>581</v>
      </c>
    </row>
    <row r="2" customFormat="false" ht="12" hidden="false" customHeight="false" outlineLevel="0" collapsed="false">
      <c r="A2" s="0" t="s">
        <v>130</v>
      </c>
    </row>
    <row r="5" customFormat="false" ht="12.75" hidden="false" customHeight="false" outlineLevel="0" collapsed="false">
      <c r="A5" s="25" t="s">
        <v>582</v>
      </c>
      <c r="B5" s="25" t="s">
        <v>583</v>
      </c>
    </row>
    <row r="6" customFormat="false" ht="24.75" hidden="false" customHeight="false" outlineLevel="0" collapsed="false">
      <c r="A6" s="1" t="s">
        <v>76</v>
      </c>
      <c r="B6" s="2" t="s">
        <v>584</v>
      </c>
    </row>
    <row r="7" customFormat="false" ht="12" hidden="false" customHeight="false" outlineLevel="0" collapsed="false">
      <c r="A7" s="1" t="s">
        <v>191</v>
      </c>
      <c r="B7" s="2" t="s">
        <v>585</v>
      </c>
    </row>
    <row r="8" customFormat="false" ht="12" hidden="false" customHeight="false" outlineLevel="0" collapsed="false">
      <c r="A8" s="1" t="s">
        <v>81</v>
      </c>
      <c r="B8" s="2" t="s">
        <v>81</v>
      </c>
    </row>
    <row r="9" customFormat="false" ht="12" hidden="false" customHeight="false" outlineLevel="0" collapsed="false">
      <c r="A9" s="1" t="s">
        <v>293</v>
      </c>
      <c r="B9" s="2" t="s">
        <v>586</v>
      </c>
    </row>
    <row r="10" customFormat="false" ht="12" hidden="false" customHeight="false" outlineLevel="0" collapsed="false">
      <c r="A10" s="1" t="s">
        <v>308</v>
      </c>
      <c r="B10" s="2" t="s">
        <v>587</v>
      </c>
    </row>
    <row r="11" customFormat="false" ht="12" hidden="false" customHeight="false" outlineLevel="0" collapsed="false">
      <c r="A11" s="1" t="s">
        <v>194</v>
      </c>
      <c r="B11" s="2" t="s">
        <v>588</v>
      </c>
    </row>
    <row r="12" customFormat="false" ht="12" hidden="false" customHeight="false" outlineLevel="0" collapsed="false">
      <c r="A12" s="1" t="s">
        <v>142</v>
      </c>
      <c r="B12" s="2" t="s">
        <v>142</v>
      </c>
    </row>
    <row r="13" customFormat="false" ht="12" hidden="false" customHeight="false" outlineLevel="0" collapsed="false">
      <c r="A13" s="1" t="s">
        <v>165</v>
      </c>
      <c r="B13" s="2" t="s">
        <v>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H202"/>
  <sheetViews>
    <sheetView showFormulas="false" showGridLines="true" showRowColHeaders="true" showZeros="true" rightToLeft="false" tabSelected="false" showOutlineSymbols="true" defaultGridColor="true" view="normal" topLeftCell="A129" colorId="64" zoomScale="100" zoomScaleNormal="100" zoomScalePageLayoutView="100" workbookViewId="0">
      <selection pane="topLeft" activeCell="B154" activeCellId="0" sqref="B154"/>
    </sheetView>
  </sheetViews>
  <sheetFormatPr defaultColWidth="8.70703125" defaultRowHeight="12" zeroHeight="false" outlineLevelRow="0" outlineLevelCol="0"/>
  <cols>
    <col collapsed="false" customWidth="true" hidden="false" outlineLevel="0" max="1" min="1" style="26" width="11.45"/>
    <col collapsed="false" customWidth="true" hidden="false" outlineLevel="0" max="2" min="2" style="0" width="31.72"/>
    <col collapsed="false" customWidth="true" hidden="false" outlineLevel="0" max="3" min="3" style="0" width="39.28"/>
    <col collapsed="false" customWidth="true" hidden="false" outlineLevel="0" max="4" min="4" style="27" width="42.63"/>
    <col collapsed="false" customWidth="true" hidden="false" outlineLevel="0" max="5" min="5" style="0" width="4.36"/>
    <col collapsed="false" customWidth="true" hidden="false" outlineLevel="0" max="6" min="6" style="0" width="54.11"/>
    <col collapsed="false" customWidth="true" hidden="false" outlineLevel="0" max="8" min="8" style="0" width="15.91"/>
  </cols>
  <sheetData>
    <row r="1" customFormat="false" ht="12.75" hidden="false" customHeight="false" outlineLevel="0" collapsed="false">
      <c r="B1" s="28" t="s">
        <v>18</v>
      </c>
      <c r="C1" s="28" t="s">
        <v>589</v>
      </c>
      <c r="D1" s="29" t="s">
        <v>590</v>
      </c>
      <c r="E1" s="28" t="s">
        <v>591</v>
      </c>
      <c r="F1" s="28" t="s">
        <v>592</v>
      </c>
    </row>
    <row r="3" customFormat="false" ht="12" hidden="false" customHeight="false" outlineLevel="0" collapsed="false">
      <c r="B3" s="26" t="s">
        <v>58</v>
      </c>
      <c r="C3" s="0" t="s">
        <v>541</v>
      </c>
    </row>
    <row r="4" customFormat="false" ht="12" hidden="false" customHeight="false" outlineLevel="0" collapsed="false">
      <c r="B4" s="26" t="s">
        <v>58</v>
      </c>
      <c r="C4" s="0" t="s">
        <v>544</v>
      </c>
    </row>
    <row r="5" customFormat="false" ht="12" hidden="false" customHeight="false" outlineLevel="0" collapsed="false">
      <c r="B5" s="26" t="s">
        <v>58</v>
      </c>
      <c r="C5" s="0" t="s">
        <v>538</v>
      </c>
      <c r="F5" s="0" t="s">
        <v>593</v>
      </c>
      <c r="H5" s="26" t="s">
        <v>72</v>
      </c>
    </row>
    <row r="6" customFormat="false" ht="12" hidden="false" customHeight="false" outlineLevel="0" collapsed="false">
      <c r="B6" s="26"/>
      <c r="H6" s="26" t="s">
        <v>124</v>
      </c>
    </row>
    <row r="7" customFormat="false" ht="12" hidden="false" customHeight="false" outlineLevel="0" collapsed="false">
      <c r="B7" s="26" t="s">
        <v>72</v>
      </c>
      <c r="C7" s="0" t="s">
        <v>594</v>
      </c>
      <c r="E7" s="0" t="s">
        <v>595</v>
      </c>
      <c r="F7" s="0" t="s">
        <v>596</v>
      </c>
      <c r="H7" s="26" t="s">
        <v>221</v>
      </c>
    </row>
    <row r="8" customFormat="false" ht="12" hidden="false" customHeight="false" outlineLevel="0" collapsed="false">
      <c r="B8" s="26" t="s">
        <v>124</v>
      </c>
      <c r="C8" s="0" t="s">
        <v>594</v>
      </c>
      <c r="H8" s="26" t="s">
        <v>205</v>
      </c>
    </row>
    <row r="9" customFormat="false" ht="12" hidden="false" customHeight="false" outlineLevel="0" collapsed="false">
      <c r="B9" s="26" t="s">
        <v>72</v>
      </c>
      <c r="C9" s="0" t="s">
        <v>597</v>
      </c>
      <c r="E9" s="0" t="s">
        <v>595</v>
      </c>
      <c r="F9" s="0" t="s">
        <v>598</v>
      </c>
      <c r="H9" s="26"/>
    </row>
    <row r="10" customFormat="false" ht="12" hidden="false" customHeight="false" outlineLevel="0" collapsed="false">
      <c r="B10" s="26" t="s">
        <v>124</v>
      </c>
      <c r="C10" s="0" t="s">
        <v>597</v>
      </c>
      <c r="F10" s="0" t="s">
        <v>598</v>
      </c>
      <c r="H10" s="26"/>
    </row>
    <row r="11" customFormat="false" ht="12" hidden="false" customHeight="false" outlineLevel="0" collapsed="false">
      <c r="B11" s="26" t="s">
        <v>72</v>
      </c>
      <c r="C11" s="0" t="s">
        <v>599</v>
      </c>
      <c r="E11" s="0" t="s">
        <v>595</v>
      </c>
      <c r="H11" s="26"/>
    </row>
    <row r="12" customFormat="false" ht="12" hidden="false" customHeight="false" outlineLevel="0" collapsed="false">
      <c r="B12" s="26" t="s">
        <v>124</v>
      </c>
      <c r="C12" s="0" t="s">
        <v>599</v>
      </c>
      <c r="H12" s="26"/>
    </row>
    <row r="13" customFormat="false" ht="12" hidden="false" customHeight="false" outlineLevel="0" collapsed="false">
      <c r="B13" s="26" t="s">
        <v>72</v>
      </c>
      <c r="C13" s="0" t="s">
        <v>600</v>
      </c>
      <c r="E13" s="0" t="s">
        <v>595</v>
      </c>
      <c r="F13" s="0" t="s">
        <v>598</v>
      </c>
    </row>
    <row r="14" customFormat="false" ht="12" hidden="false" customHeight="false" outlineLevel="0" collapsed="false">
      <c r="B14" s="26" t="s">
        <v>124</v>
      </c>
      <c r="C14" s="0" t="s">
        <v>600</v>
      </c>
      <c r="F14" s="0" t="s">
        <v>598</v>
      </c>
    </row>
    <row r="15" customFormat="false" ht="12" hidden="false" customHeight="false" outlineLevel="0" collapsed="false">
      <c r="B15" s="26"/>
    </row>
    <row r="16" customFormat="false" ht="24.75" hidden="false" customHeight="false" outlineLevel="0" collapsed="false">
      <c r="B16" s="26" t="s">
        <v>149</v>
      </c>
      <c r="C16" s="0" t="s">
        <v>601</v>
      </c>
      <c r="D16" s="27" t="s">
        <v>602</v>
      </c>
      <c r="F16" s="0" t="s">
        <v>603</v>
      </c>
    </row>
    <row r="17" customFormat="false" ht="24.75" hidden="false" customHeight="false" outlineLevel="0" collapsed="false">
      <c r="B17" s="26" t="s">
        <v>149</v>
      </c>
      <c r="C17" s="0" t="s">
        <v>604</v>
      </c>
      <c r="D17" s="27" t="s">
        <v>605</v>
      </c>
    </row>
    <row r="18" customFormat="false" ht="12" hidden="false" customHeight="false" outlineLevel="0" collapsed="false">
      <c r="B18" s="26" t="s">
        <v>175</v>
      </c>
      <c r="C18" s="0" t="s">
        <v>606</v>
      </c>
      <c r="D18" s="27" t="s">
        <v>601</v>
      </c>
    </row>
    <row r="19" customFormat="false" ht="12" hidden="false" customHeight="false" outlineLevel="0" collapsed="false">
      <c r="B19" s="26"/>
    </row>
    <row r="20" customFormat="false" ht="12" hidden="false" customHeight="false" outlineLevel="0" collapsed="false">
      <c r="B20" s="26" t="s">
        <v>248</v>
      </c>
      <c r="C20" s="0" t="s">
        <v>607</v>
      </c>
    </row>
    <row r="21" customFormat="false" ht="12" hidden="false" customHeight="false" outlineLevel="0" collapsed="false">
      <c r="B21" s="26" t="s">
        <v>608</v>
      </c>
      <c r="C21" s="0" t="s">
        <v>609</v>
      </c>
    </row>
    <row r="22" customFormat="false" ht="12" hidden="false" customHeight="false" outlineLevel="0" collapsed="false">
      <c r="B22" s="26" t="s">
        <v>248</v>
      </c>
      <c r="C22" s="0" t="s">
        <v>610</v>
      </c>
    </row>
    <row r="23" customFormat="false" ht="12" hidden="false" customHeight="false" outlineLevel="0" collapsed="false">
      <c r="B23" s="26" t="s">
        <v>608</v>
      </c>
      <c r="C23" s="0" t="s">
        <v>611</v>
      </c>
    </row>
    <row r="25" customFormat="false" ht="62.25" hidden="false" customHeight="false" outlineLevel="0" collapsed="false">
      <c r="B25" s="26" t="s">
        <v>52</v>
      </c>
      <c r="C25" s="26" t="s">
        <v>52</v>
      </c>
      <c r="D25" s="27" t="s">
        <v>612</v>
      </c>
    </row>
    <row r="26" customFormat="false" ht="24.75" hidden="false" customHeight="false" outlineLevel="0" collapsed="false">
      <c r="B26" s="26" t="s">
        <v>173</v>
      </c>
      <c r="C26" s="0" t="s">
        <v>613</v>
      </c>
      <c r="D26" s="27" t="s">
        <v>614</v>
      </c>
      <c r="F26" s="0" t="s">
        <v>615</v>
      </c>
    </row>
    <row r="27" customFormat="false" ht="12" hidden="false" customHeight="false" outlineLevel="0" collapsed="false">
      <c r="B27" s="26" t="s">
        <v>173</v>
      </c>
      <c r="C27" s="0" t="s">
        <v>616</v>
      </c>
      <c r="D27" s="27" t="s">
        <v>617</v>
      </c>
      <c r="F27" s="0" t="s">
        <v>618</v>
      </c>
    </row>
    <row r="28" customFormat="false" ht="12" hidden="false" customHeight="false" outlineLevel="0" collapsed="false">
      <c r="B28" s="26"/>
    </row>
    <row r="29" customFormat="false" ht="12" hidden="false" customHeight="false" outlineLevel="0" collapsed="false">
      <c r="B29" s="26" t="s">
        <v>553</v>
      </c>
      <c r="C29" s="30" t="s">
        <v>406</v>
      </c>
      <c r="D29" s="27" t="s">
        <v>52</v>
      </c>
      <c r="F29" s="0" t="s">
        <v>619</v>
      </c>
    </row>
    <row r="30" customFormat="false" ht="12" hidden="false" customHeight="false" outlineLevel="0" collapsed="false">
      <c r="B30" s="26" t="s">
        <v>553</v>
      </c>
      <c r="C30" s="30" t="s">
        <v>409</v>
      </c>
      <c r="D30" s="27" t="s">
        <v>52</v>
      </c>
    </row>
    <row r="31" customFormat="false" ht="12" hidden="false" customHeight="false" outlineLevel="0" collapsed="false">
      <c r="B31" s="26" t="s">
        <v>553</v>
      </c>
      <c r="C31" s="30" t="s">
        <v>412</v>
      </c>
      <c r="D31" s="27" t="s">
        <v>52</v>
      </c>
    </row>
    <row r="32" customFormat="false" ht="12" hidden="false" customHeight="false" outlineLevel="0" collapsed="false">
      <c r="B32" s="26" t="s">
        <v>553</v>
      </c>
      <c r="C32" s="30" t="s">
        <v>415</v>
      </c>
      <c r="D32" s="27" t="s">
        <v>52</v>
      </c>
    </row>
    <row r="33" customFormat="false" ht="12" hidden="false" customHeight="false" outlineLevel="0" collapsed="false">
      <c r="B33" s="26" t="s">
        <v>553</v>
      </c>
      <c r="C33" s="30" t="s">
        <v>418</v>
      </c>
      <c r="D33" s="27" t="s">
        <v>52</v>
      </c>
    </row>
    <row r="34" customFormat="false" ht="12" hidden="false" customHeight="false" outlineLevel="0" collapsed="false">
      <c r="B34" s="26" t="s">
        <v>553</v>
      </c>
      <c r="C34" s="30" t="s">
        <v>620</v>
      </c>
      <c r="D34" s="27" t="s">
        <v>52</v>
      </c>
    </row>
    <row r="35" customFormat="false" ht="12" hidden="false" customHeight="false" outlineLevel="0" collapsed="false">
      <c r="B35" s="26"/>
      <c r="C35" s="30"/>
    </row>
    <row r="36" customFormat="false" ht="12" hidden="false" customHeight="false" outlineLevel="0" collapsed="false">
      <c r="B36" s="26" t="s">
        <v>268</v>
      </c>
      <c r="C36" s="26" t="s">
        <v>268</v>
      </c>
      <c r="D36" s="27" t="s">
        <v>621</v>
      </c>
      <c r="F36" s="0" t="s">
        <v>622</v>
      </c>
    </row>
    <row r="37" customFormat="false" ht="12" hidden="false" customHeight="false" outlineLevel="0" collapsed="false">
      <c r="B37" s="26" t="s">
        <v>563</v>
      </c>
      <c r="C37" s="26" t="s">
        <v>563</v>
      </c>
      <c r="D37" s="27" t="s">
        <v>623</v>
      </c>
      <c r="F37" s="0" t="s">
        <v>622</v>
      </c>
    </row>
    <row r="38" customFormat="false" ht="12" hidden="false" customHeight="false" outlineLevel="0" collapsed="false">
      <c r="B38" s="26" t="s">
        <v>296</v>
      </c>
      <c r="C38" s="26" t="s">
        <v>296</v>
      </c>
      <c r="D38" s="27" t="s">
        <v>624</v>
      </c>
      <c r="F38" s="0" t="s">
        <v>622</v>
      </c>
    </row>
    <row r="39" customFormat="false" ht="12" hidden="false" customHeight="false" outlineLevel="0" collapsed="false">
      <c r="B39" s="26"/>
      <c r="C39" s="26"/>
    </row>
    <row r="40" customFormat="false" ht="24.75" hidden="false" customHeight="false" outlineLevel="0" collapsed="false">
      <c r="B40" s="26" t="s">
        <v>168</v>
      </c>
      <c r="C40" s="26" t="s">
        <v>625</v>
      </c>
      <c r="D40" s="27" t="s">
        <v>626</v>
      </c>
    </row>
    <row r="41" customFormat="false" ht="12" hidden="false" customHeight="false" outlineLevel="0" collapsed="false">
      <c r="B41" s="26"/>
      <c r="C41" s="30"/>
    </row>
    <row r="42" customFormat="false" ht="12" hidden="false" customHeight="false" outlineLevel="0" collapsed="false">
      <c r="B42" s="26" t="s">
        <v>347</v>
      </c>
      <c r="C42" s="26" t="s">
        <v>627</v>
      </c>
      <c r="D42" s="27" t="s">
        <v>613</v>
      </c>
    </row>
    <row r="43" customFormat="false" ht="12" hidden="false" customHeight="false" outlineLevel="0" collapsed="false">
      <c r="B43" s="26" t="s">
        <v>365</v>
      </c>
      <c r="C43" s="26" t="s">
        <v>628</v>
      </c>
      <c r="D43" s="27" t="s">
        <v>613</v>
      </c>
    </row>
    <row r="44" customFormat="false" ht="12" hidden="false" customHeight="false" outlineLevel="0" collapsed="false">
      <c r="B44" s="26" t="s">
        <v>372</v>
      </c>
      <c r="C44" s="26" t="s">
        <v>629</v>
      </c>
      <c r="D44" s="27" t="s">
        <v>613</v>
      </c>
    </row>
    <row r="45" customFormat="false" ht="12" hidden="false" customHeight="false" outlineLevel="0" collapsed="false">
      <c r="C45" s="30"/>
    </row>
    <row r="46" customFormat="false" ht="12" hidden="false" customHeight="false" outlineLevel="0" collapsed="false">
      <c r="B46" s="26" t="s">
        <v>72</v>
      </c>
      <c r="C46" s="26" t="s">
        <v>630</v>
      </c>
    </row>
    <row r="47" customFormat="false" ht="12" hidden="false" customHeight="false" outlineLevel="0" collapsed="false">
      <c r="B47" s="26" t="s">
        <v>124</v>
      </c>
      <c r="C47" s="26" t="s">
        <v>631</v>
      </c>
      <c r="D47" s="31" t="s">
        <v>630</v>
      </c>
    </row>
    <row r="48" customFormat="false" ht="24.75" hidden="false" customHeight="false" outlineLevel="0" collapsed="false">
      <c r="B48" s="26" t="s">
        <v>381</v>
      </c>
      <c r="C48" s="30" t="s">
        <v>632</v>
      </c>
      <c r="D48" s="31" t="s">
        <v>633</v>
      </c>
    </row>
    <row r="49" customFormat="false" ht="12" hidden="false" customHeight="false" outlineLevel="0" collapsed="false">
      <c r="B49" s="26"/>
      <c r="C49" s="30"/>
      <c r="D49" s="31"/>
    </row>
    <row r="50" customFormat="false" ht="12" hidden="false" customHeight="false" outlineLevel="0" collapsed="false">
      <c r="B50" s="26" t="s">
        <v>72</v>
      </c>
      <c r="C50" s="26" t="s">
        <v>634</v>
      </c>
    </row>
    <row r="51" customFormat="false" ht="12" hidden="false" customHeight="false" outlineLevel="0" collapsed="false">
      <c r="B51" s="26" t="s">
        <v>124</v>
      </c>
      <c r="C51" s="26" t="s">
        <v>635</v>
      </c>
      <c r="D51" s="31" t="s">
        <v>634</v>
      </c>
    </row>
    <row r="52" customFormat="false" ht="24.75" hidden="false" customHeight="false" outlineLevel="0" collapsed="false">
      <c r="B52" s="26" t="s">
        <v>318</v>
      </c>
      <c r="C52" s="30" t="s">
        <v>636</v>
      </c>
      <c r="D52" s="31" t="s">
        <v>637</v>
      </c>
    </row>
    <row r="53" customFormat="false" ht="12" hidden="false" customHeight="false" outlineLevel="0" collapsed="false">
      <c r="B53" s="26"/>
      <c r="C53" s="30"/>
      <c r="D53" s="31"/>
    </row>
    <row r="54" customFormat="false" ht="12" hidden="false" customHeight="false" outlineLevel="0" collapsed="false">
      <c r="B54" s="26" t="s">
        <v>72</v>
      </c>
      <c r="C54" s="30" t="str">
        <f aca="false">"IPI"&amp;F54&amp;B54</f>
        <v>IPIDebtorPostalAddress</v>
      </c>
      <c r="D54" s="31"/>
      <c r="F54" s="0" t="s">
        <v>638</v>
      </c>
    </row>
    <row r="55" customFormat="false" ht="12" hidden="false" customHeight="false" outlineLevel="0" collapsed="false">
      <c r="B55" s="26" t="s">
        <v>124</v>
      </c>
      <c r="C55" s="30" t="str">
        <f aca="false">"IPI"&amp;F55&amp;B55</f>
        <v>IPIDebtorPartyIdentification</v>
      </c>
      <c r="D55" s="31" t="str">
        <f aca="false">C54</f>
        <v>IPIDebtorPostalAddress</v>
      </c>
      <c r="F55" s="0" t="s">
        <v>638</v>
      </c>
    </row>
    <row r="56" customFormat="false" ht="12" hidden="false" customHeight="false" outlineLevel="0" collapsed="false">
      <c r="B56" s="26" t="s">
        <v>221</v>
      </c>
      <c r="C56" s="30" t="str">
        <f aca="false">"IPI"&amp;F56&amp;B56</f>
        <v>IPIDebtorPartyRoleAccount</v>
      </c>
      <c r="D56" s="31" t="str">
        <f aca="false">C55</f>
        <v>IPIDebtorPartyIdentification</v>
      </c>
      <c r="F56" s="0" t="s">
        <v>638</v>
      </c>
    </row>
    <row r="57" customFormat="false" ht="24.75" hidden="false" customHeight="false" outlineLevel="0" collapsed="false">
      <c r="B57" s="26" t="s">
        <v>205</v>
      </c>
      <c r="C57" s="30" t="str">
        <f aca="false">"IPI"&amp;F57&amp;B57</f>
        <v>IPIDebtorPaymentPartyRole</v>
      </c>
      <c r="D57" s="31" t="str">
        <f aca="false">C56&amp;", "&amp;$C$26</f>
        <v>IPIDebtorPartyRoleAccount, InboundPaymentInstruction</v>
      </c>
      <c r="F57" s="0" t="s">
        <v>638</v>
      </c>
    </row>
    <row r="58" customFormat="false" ht="12" hidden="false" customHeight="false" outlineLevel="0" collapsed="false">
      <c r="B58" s="26"/>
      <c r="C58" s="30"/>
      <c r="D58" s="31"/>
    </row>
    <row r="59" customFormat="false" ht="12" hidden="false" customHeight="false" outlineLevel="0" collapsed="false">
      <c r="B59" s="26" t="s">
        <v>72</v>
      </c>
      <c r="C59" s="30" t="str">
        <f aca="false">"IPI"&amp;F59&amp;B59</f>
        <v>IPICreditorPostalAddress</v>
      </c>
      <c r="D59" s="31"/>
      <c r="F59" s="0" t="s">
        <v>639</v>
      </c>
    </row>
    <row r="60" customFormat="false" ht="12" hidden="false" customHeight="false" outlineLevel="0" collapsed="false">
      <c r="B60" s="26" t="s">
        <v>124</v>
      </c>
      <c r="C60" s="30" t="str">
        <f aca="false">"IPI"&amp;F60&amp;B60</f>
        <v>IPICreditorPartyIdentification</v>
      </c>
      <c r="D60" s="31" t="str">
        <f aca="false">C59</f>
        <v>IPICreditorPostalAddress</v>
      </c>
      <c r="F60" s="0" t="s">
        <v>639</v>
      </c>
    </row>
    <row r="61" customFormat="false" ht="12" hidden="false" customHeight="false" outlineLevel="0" collapsed="false">
      <c r="B61" s="26" t="s">
        <v>221</v>
      </c>
      <c r="C61" s="30" t="str">
        <f aca="false">"IPI"&amp;F61&amp;B61</f>
        <v>IPICreditorPartyRoleAccount</v>
      </c>
      <c r="D61" s="31" t="str">
        <f aca="false">C60</f>
        <v>IPICreditorPartyIdentification</v>
      </c>
      <c r="F61" s="0" t="s">
        <v>639</v>
      </c>
    </row>
    <row r="62" customFormat="false" ht="24.75" hidden="false" customHeight="false" outlineLevel="0" collapsed="false">
      <c r="B62" s="26" t="s">
        <v>205</v>
      </c>
      <c r="C62" s="30" t="str">
        <f aca="false">"IPI"&amp;F62&amp;B62</f>
        <v>IPICreditorPaymentPartyRole</v>
      </c>
      <c r="D62" s="31" t="str">
        <f aca="false">C61&amp;", "&amp;$C$26</f>
        <v>IPICreditorPartyRoleAccount, InboundPaymentInstruction</v>
      </c>
      <c r="F62" s="0" t="s">
        <v>639</v>
      </c>
    </row>
    <row r="63" customFormat="false" ht="12" hidden="false" customHeight="false" outlineLevel="0" collapsed="false">
      <c r="B63" s="26"/>
      <c r="C63" s="30"/>
      <c r="D63" s="31"/>
    </row>
    <row r="64" customFormat="false" ht="12" hidden="false" customHeight="false" outlineLevel="0" collapsed="false">
      <c r="B64" s="26" t="s">
        <v>72</v>
      </c>
      <c r="C64" s="30" t="str">
        <f aca="false">"IPI"&amp;F64&amp;B64</f>
        <v>IPIDebtorAgentPostalAddress</v>
      </c>
      <c r="D64" s="31"/>
      <c r="F64" s="0" t="s">
        <v>640</v>
      </c>
    </row>
    <row r="65" customFormat="false" ht="12" hidden="false" customHeight="false" outlineLevel="0" collapsed="false">
      <c r="B65" s="26" t="s">
        <v>124</v>
      </c>
      <c r="C65" s="30" t="str">
        <f aca="false">"IPI"&amp;F65&amp;B65</f>
        <v>IPIDebtorAgentPartyIdentification</v>
      </c>
      <c r="D65" s="31" t="str">
        <f aca="false">C64</f>
        <v>IPIDebtorAgentPostalAddress</v>
      </c>
      <c r="F65" s="0" t="s">
        <v>640</v>
      </c>
    </row>
    <row r="66" customFormat="false" ht="12" hidden="false" customHeight="false" outlineLevel="0" collapsed="false">
      <c r="B66" s="26" t="s">
        <v>221</v>
      </c>
      <c r="C66" s="30" t="str">
        <f aca="false">"IPI"&amp;F66&amp;B66</f>
        <v>IPIDebtorAgentPartyRoleAccount</v>
      </c>
      <c r="D66" s="31" t="str">
        <f aca="false">C65</f>
        <v>IPIDebtorAgentPartyIdentification</v>
      </c>
      <c r="F66" s="0" t="s">
        <v>640</v>
      </c>
    </row>
    <row r="67" customFormat="false" ht="24.75" hidden="false" customHeight="false" outlineLevel="0" collapsed="false">
      <c r="B67" s="26" t="s">
        <v>205</v>
      </c>
      <c r="C67" s="30" t="str">
        <f aca="false">"IPI"&amp;F67&amp;B67</f>
        <v>IPIDebtorAgentPaymentPartyRole</v>
      </c>
      <c r="D67" s="31" t="str">
        <f aca="false">C66&amp;", "&amp;$C$26</f>
        <v>IPIDebtorAgentPartyRoleAccount, InboundPaymentInstruction</v>
      </c>
      <c r="F67" s="0" t="s">
        <v>640</v>
      </c>
    </row>
    <row r="68" customFormat="false" ht="12" hidden="false" customHeight="false" outlineLevel="0" collapsed="false">
      <c r="B68" s="26"/>
      <c r="C68" s="30"/>
      <c r="D68" s="31"/>
    </row>
    <row r="69" customFormat="false" ht="12" hidden="false" customHeight="false" outlineLevel="0" collapsed="false">
      <c r="B69" s="26" t="s">
        <v>72</v>
      </c>
      <c r="C69" s="30" t="str">
        <f aca="false">"IPI"&amp;F69&amp;B69</f>
        <v>IPICreditorAgentPostalAddress</v>
      </c>
      <c r="D69" s="31"/>
      <c r="F69" s="0" t="s">
        <v>641</v>
      </c>
    </row>
    <row r="70" customFormat="false" ht="12" hidden="false" customHeight="false" outlineLevel="0" collapsed="false">
      <c r="B70" s="26" t="s">
        <v>124</v>
      </c>
      <c r="C70" s="30" t="str">
        <f aca="false">"IPI"&amp;F70&amp;B70</f>
        <v>IPICreditorAgentPartyIdentification</v>
      </c>
      <c r="D70" s="31" t="str">
        <f aca="false">C69</f>
        <v>IPICreditorAgentPostalAddress</v>
      </c>
      <c r="F70" s="0" t="s">
        <v>641</v>
      </c>
    </row>
    <row r="71" customFormat="false" ht="12" hidden="false" customHeight="false" outlineLevel="0" collapsed="false">
      <c r="B71" s="26" t="s">
        <v>221</v>
      </c>
      <c r="C71" s="30" t="str">
        <f aca="false">"IPI"&amp;F71&amp;B71</f>
        <v>IPICreditorAgentPartyRoleAccount</v>
      </c>
      <c r="D71" s="31" t="str">
        <f aca="false">C70</f>
        <v>IPICreditorAgentPartyIdentification</v>
      </c>
      <c r="F71" s="0" t="s">
        <v>641</v>
      </c>
    </row>
    <row r="72" customFormat="false" ht="24.75" hidden="false" customHeight="false" outlineLevel="0" collapsed="false">
      <c r="B72" s="26" t="s">
        <v>205</v>
      </c>
      <c r="C72" s="30" t="str">
        <f aca="false">"IPI"&amp;F72&amp;B72</f>
        <v>IPICreditorAgentPaymentPartyRole</v>
      </c>
      <c r="D72" s="31" t="str">
        <f aca="false">C71&amp;", "&amp;$C$26</f>
        <v>IPICreditorAgentPartyRoleAccount, InboundPaymentInstruction</v>
      </c>
      <c r="F72" s="0" t="s">
        <v>641</v>
      </c>
    </row>
    <row r="73" customFormat="false" ht="12" hidden="false" customHeight="false" outlineLevel="0" collapsed="false">
      <c r="B73" s="26"/>
      <c r="C73" s="30"/>
      <c r="D73" s="31"/>
    </row>
    <row r="74" customFormat="false" ht="12" hidden="false" customHeight="false" outlineLevel="0" collapsed="false">
      <c r="B74" s="26" t="s">
        <v>72</v>
      </c>
      <c r="C74" s="30" t="str">
        <f aca="false">"IPI"&amp;F74&amp;B74</f>
        <v>IPIInitiatingPartyPostalAddress</v>
      </c>
      <c r="D74" s="31"/>
      <c r="F74" s="0" t="s">
        <v>642</v>
      </c>
    </row>
    <row r="75" customFormat="false" ht="12" hidden="false" customHeight="false" outlineLevel="0" collapsed="false">
      <c r="B75" s="26" t="s">
        <v>124</v>
      </c>
      <c r="C75" s="30" t="str">
        <f aca="false">"IPI"&amp;F75&amp;B75</f>
        <v>IPIInitiatingPartyPartyIdentification</v>
      </c>
      <c r="D75" s="31" t="str">
        <f aca="false">C74</f>
        <v>IPIInitiatingPartyPostalAddress</v>
      </c>
      <c r="F75" s="0" t="s">
        <v>642</v>
      </c>
    </row>
    <row r="76" customFormat="false" ht="12" hidden="false" customHeight="false" outlineLevel="0" collapsed="false">
      <c r="B76" s="26" t="s">
        <v>221</v>
      </c>
      <c r="C76" s="30" t="str">
        <f aca="false">"IPI"&amp;F76&amp;B76</f>
        <v>IPIInitiatingPartyPartyRoleAccount</v>
      </c>
      <c r="D76" s="31" t="str">
        <f aca="false">C75</f>
        <v>IPIInitiatingPartyPartyIdentification</v>
      </c>
      <c r="F76" s="0" t="s">
        <v>642</v>
      </c>
    </row>
    <row r="77" customFormat="false" ht="24.75" hidden="false" customHeight="false" outlineLevel="0" collapsed="false">
      <c r="B77" s="26" t="s">
        <v>205</v>
      </c>
      <c r="C77" s="30" t="str">
        <f aca="false">"IPI"&amp;F77&amp;B77</f>
        <v>IPIInitiatingPartyPaymentPartyRole</v>
      </c>
      <c r="D77" s="31" t="str">
        <f aca="false">C76&amp;", "&amp;$C$26</f>
        <v>IPIInitiatingPartyPartyRoleAccount, InboundPaymentInstruction</v>
      </c>
      <c r="F77" s="0" t="s">
        <v>642</v>
      </c>
    </row>
    <row r="78" customFormat="false" ht="12" hidden="false" customHeight="false" outlineLevel="0" collapsed="false">
      <c r="B78" s="26"/>
      <c r="C78" s="30"/>
      <c r="D78" s="31"/>
    </row>
    <row r="79" customFormat="false" ht="12" hidden="false" customHeight="false" outlineLevel="0" collapsed="false">
      <c r="B79" s="26" t="s">
        <v>72</v>
      </c>
      <c r="C79" s="30" t="str">
        <f aca="false">"IPI"&amp;F79&amp;B79</f>
        <v>IPIUltimateDebtorPostalAddress</v>
      </c>
      <c r="D79" s="31"/>
      <c r="F79" s="0" t="s">
        <v>643</v>
      </c>
    </row>
    <row r="80" customFormat="false" ht="12" hidden="false" customHeight="false" outlineLevel="0" collapsed="false">
      <c r="B80" s="26" t="s">
        <v>124</v>
      </c>
      <c r="C80" s="30" t="str">
        <f aca="false">"IPI"&amp;F80&amp;B80</f>
        <v>IPIUltimateDebtorPartyIdentification</v>
      </c>
      <c r="D80" s="31" t="str">
        <f aca="false">C79</f>
        <v>IPIUltimateDebtorPostalAddress</v>
      </c>
      <c r="F80" s="0" t="s">
        <v>643</v>
      </c>
    </row>
    <row r="81" customFormat="false" ht="12" hidden="false" customHeight="false" outlineLevel="0" collapsed="false">
      <c r="B81" s="26" t="s">
        <v>221</v>
      </c>
      <c r="C81" s="30" t="str">
        <f aca="false">"IPI"&amp;F81&amp;B81</f>
        <v>IPIUltimateDebtorPartyRoleAccount</v>
      </c>
      <c r="D81" s="31" t="str">
        <f aca="false">C80</f>
        <v>IPIUltimateDebtorPartyIdentification</v>
      </c>
      <c r="F81" s="0" t="s">
        <v>643</v>
      </c>
    </row>
    <row r="82" customFormat="false" ht="24.75" hidden="false" customHeight="false" outlineLevel="0" collapsed="false">
      <c r="B82" s="26" t="s">
        <v>205</v>
      </c>
      <c r="C82" s="30" t="str">
        <f aca="false">"IPI"&amp;F82&amp;B82</f>
        <v>IPIUltimateDebtorPaymentPartyRole</v>
      </c>
      <c r="D82" s="31" t="str">
        <f aca="false">C81&amp;", "&amp;$C$26</f>
        <v>IPIUltimateDebtorPartyRoleAccount, InboundPaymentInstruction</v>
      </c>
      <c r="F82" s="0" t="s">
        <v>643</v>
      </c>
    </row>
    <row r="83" customFormat="false" ht="12" hidden="false" customHeight="false" outlineLevel="0" collapsed="false">
      <c r="B83" s="26"/>
      <c r="C83" s="30"/>
      <c r="D83" s="31"/>
    </row>
    <row r="84" customFormat="false" ht="12" hidden="false" customHeight="false" outlineLevel="0" collapsed="false">
      <c r="B84" s="26" t="s">
        <v>72</v>
      </c>
      <c r="C84" s="30" t="str">
        <f aca="false">"IPI"&amp;F84&amp;B84</f>
        <v>IPIUltimateCreditorPostalAddress</v>
      </c>
      <c r="D84" s="31"/>
      <c r="F84" s="0" t="s">
        <v>644</v>
      </c>
    </row>
    <row r="85" customFormat="false" ht="12" hidden="false" customHeight="false" outlineLevel="0" collapsed="false">
      <c r="B85" s="26" t="s">
        <v>124</v>
      </c>
      <c r="C85" s="30" t="str">
        <f aca="false">"IPI"&amp;F85&amp;B85</f>
        <v>IPIUltimateCreditorPartyIdentification</v>
      </c>
      <c r="D85" s="31" t="str">
        <f aca="false">C84</f>
        <v>IPIUltimateCreditorPostalAddress</v>
      </c>
      <c r="F85" s="0" t="s">
        <v>644</v>
      </c>
    </row>
    <row r="86" customFormat="false" ht="12" hidden="false" customHeight="false" outlineLevel="0" collapsed="false">
      <c r="B86" s="26" t="s">
        <v>221</v>
      </c>
      <c r="C86" s="30" t="str">
        <f aca="false">"IPI"&amp;F86&amp;B86</f>
        <v>IPIUltimateCreditorPartyRoleAccount</v>
      </c>
      <c r="D86" s="31" t="str">
        <f aca="false">C85</f>
        <v>IPIUltimateCreditorPartyIdentification</v>
      </c>
      <c r="F86" s="0" t="s">
        <v>644</v>
      </c>
    </row>
    <row r="87" customFormat="false" ht="24.75" hidden="false" customHeight="false" outlineLevel="0" collapsed="false">
      <c r="B87" s="26" t="s">
        <v>205</v>
      </c>
      <c r="C87" s="30" t="str">
        <f aca="false">"IPI"&amp;F87&amp;B87</f>
        <v>IPIUltimateCreditorPaymentPartyRole</v>
      </c>
      <c r="D87" s="31" t="str">
        <f aca="false">C86&amp;", "&amp;$C$26</f>
        <v>IPIUltimateCreditorPartyRoleAccount, InboundPaymentInstruction</v>
      </c>
      <c r="F87" s="0" t="s">
        <v>644</v>
      </c>
    </row>
    <row r="88" customFormat="false" ht="12" hidden="false" customHeight="false" outlineLevel="0" collapsed="false">
      <c r="B88" s="26"/>
      <c r="C88" s="30"/>
      <c r="D88" s="31"/>
    </row>
    <row r="89" customFormat="false" ht="12" hidden="false" customHeight="false" outlineLevel="0" collapsed="false">
      <c r="B89" s="26" t="s">
        <v>72</v>
      </c>
      <c r="C89" s="30" t="str">
        <f aca="false">"IPI"&amp;F89&amp;B89</f>
        <v>IPIIntermediaryAgent1PostalAddress</v>
      </c>
      <c r="D89" s="31"/>
      <c r="F89" s="0" t="s">
        <v>645</v>
      </c>
    </row>
    <row r="90" customFormat="false" ht="12" hidden="false" customHeight="false" outlineLevel="0" collapsed="false">
      <c r="B90" s="26" t="s">
        <v>124</v>
      </c>
      <c r="C90" s="30" t="str">
        <f aca="false">"IPI"&amp;F90&amp;B90</f>
        <v>IPIIntermediaryAgent1PartyIdentification</v>
      </c>
      <c r="D90" s="31" t="str">
        <f aca="false">C89</f>
        <v>IPIIntermediaryAgent1PostalAddress</v>
      </c>
      <c r="F90" s="0" t="s">
        <v>645</v>
      </c>
    </row>
    <row r="91" customFormat="false" ht="12" hidden="false" customHeight="false" outlineLevel="0" collapsed="false">
      <c r="B91" s="26" t="s">
        <v>221</v>
      </c>
      <c r="C91" s="30" t="str">
        <f aca="false">"IPI"&amp;F91&amp;B91</f>
        <v>IPIIntermediaryAgent1PartyRoleAccount</v>
      </c>
      <c r="D91" s="31" t="str">
        <f aca="false">C90</f>
        <v>IPIIntermediaryAgent1PartyIdentification</v>
      </c>
      <c r="F91" s="0" t="s">
        <v>645</v>
      </c>
    </row>
    <row r="92" customFormat="false" ht="24.75" hidden="false" customHeight="false" outlineLevel="0" collapsed="false">
      <c r="B92" s="26" t="s">
        <v>205</v>
      </c>
      <c r="C92" s="30" t="str">
        <f aca="false">"IPI"&amp;F92&amp;B92</f>
        <v>IPIIntermediaryAgent1PaymentPartyRole</v>
      </c>
      <c r="D92" s="31" t="str">
        <f aca="false">C91&amp;", "&amp;$C$26</f>
        <v>IPIIntermediaryAgent1PartyRoleAccount, InboundPaymentInstruction</v>
      </c>
      <c r="F92" s="0" t="s">
        <v>645</v>
      </c>
    </row>
    <row r="93" customFormat="false" ht="12" hidden="false" customHeight="false" outlineLevel="0" collapsed="false">
      <c r="B93" s="26"/>
      <c r="C93" s="30"/>
      <c r="D93" s="31"/>
    </row>
    <row r="94" customFormat="false" ht="12" hidden="false" customHeight="false" outlineLevel="0" collapsed="false">
      <c r="B94" s="26" t="s">
        <v>72</v>
      </c>
      <c r="C94" s="30" t="str">
        <f aca="false">"IPI"&amp;F94&amp;B94</f>
        <v>IPIIntermediaryAgent2PostalAddress</v>
      </c>
      <c r="D94" s="31"/>
      <c r="F94" s="0" t="s">
        <v>646</v>
      </c>
    </row>
    <row r="95" customFormat="false" ht="12" hidden="false" customHeight="false" outlineLevel="0" collapsed="false">
      <c r="B95" s="26" t="s">
        <v>124</v>
      </c>
      <c r="C95" s="30" t="str">
        <f aca="false">"IPI"&amp;F95&amp;B95</f>
        <v>IPIIntermediaryAgent2PartyIdentification</v>
      </c>
      <c r="D95" s="31" t="str">
        <f aca="false">C94</f>
        <v>IPIIntermediaryAgent2PostalAddress</v>
      </c>
      <c r="F95" s="0" t="s">
        <v>646</v>
      </c>
    </row>
    <row r="96" customFormat="false" ht="12" hidden="false" customHeight="false" outlineLevel="0" collapsed="false">
      <c r="B96" s="26" t="s">
        <v>221</v>
      </c>
      <c r="C96" s="30" t="str">
        <f aca="false">"IPI"&amp;F96&amp;B96</f>
        <v>IPIIntermediaryAgent2PartyRoleAccount</v>
      </c>
      <c r="D96" s="31" t="str">
        <f aca="false">C95</f>
        <v>IPIIntermediaryAgent2PartyIdentification</v>
      </c>
      <c r="F96" s="0" t="s">
        <v>646</v>
      </c>
    </row>
    <row r="97" customFormat="false" ht="24.75" hidden="false" customHeight="false" outlineLevel="0" collapsed="false">
      <c r="B97" s="26" t="s">
        <v>205</v>
      </c>
      <c r="C97" s="30" t="str">
        <f aca="false">"IPI"&amp;F97&amp;B97</f>
        <v>IPIIntermediaryAgent2PaymentPartyRole</v>
      </c>
      <c r="D97" s="31" t="str">
        <f aca="false">C96&amp;", "&amp;$C$26</f>
        <v>IPIIntermediaryAgent2PartyRoleAccount, InboundPaymentInstruction</v>
      </c>
      <c r="F97" s="0" t="s">
        <v>646</v>
      </c>
    </row>
    <row r="98" customFormat="false" ht="12" hidden="false" customHeight="false" outlineLevel="0" collapsed="false">
      <c r="B98" s="26"/>
      <c r="C98" s="30"/>
      <c r="D98" s="31"/>
    </row>
    <row r="99" customFormat="false" ht="12" hidden="false" customHeight="false" outlineLevel="0" collapsed="false">
      <c r="B99" s="26" t="s">
        <v>72</v>
      </c>
      <c r="C99" s="30" t="str">
        <f aca="false">"IPI"&amp;F99&amp;B99</f>
        <v>IPIIntermediaryAgent3PostalAddress</v>
      </c>
      <c r="D99" s="31"/>
      <c r="F99" s="0" t="s">
        <v>647</v>
      </c>
    </row>
    <row r="100" customFormat="false" ht="12" hidden="false" customHeight="false" outlineLevel="0" collapsed="false">
      <c r="B100" s="26" t="s">
        <v>124</v>
      </c>
      <c r="C100" s="30" t="str">
        <f aca="false">"IPI"&amp;F100&amp;B100</f>
        <v>IPIIntermediaryAgent3PartyIdentification</v>
      </c>
      <c r="D100" s="31" t="str">
        <f aca="false">C99</f>
        <v>IPIIntermediaryAgent3PostalAddress</v>
      </c>
      <c r="F100" s="0" t="s">
        <v>647</v>
      </c>
    </row>
    <row r="101" customFormat="false" ht="12" hidden="false" customHeight="false" outlineLevel="0" collapsed="false">
      <c r="B101" s="26" t="s">
        <v>221</v>
      </c>
      <c r="C101" s="30" t="str">
        <f aca="false">"IPI"&amp;F101&amp;B101</f>
        <v>IPIIntermediaryAgent3PartyRoleAccount</v>
      </c>
      <c r="D101" s="31" t="str">
        <f aca="false">C100</f>
        <v>IPIIntermediaryAgent3PartyIdentification</v>
      </c>
      <c r="F101" s="0" t="s">
        <v>647</v>
      </c>
    </row>
    <row r="102" customFormat="false" ht="24.75" hidden="false" customHeight="false" outlineLevel="0" collapsed="false">
      <c r="B102" s="26" t="s">
        <v>205</v>
      </c>
      <c r="C102" s="30" t="str">
        <f aca="false">"IPI"&amp;F102&amp;B102</f>
        <v>IPIIntermediaryAgent3PaymentPartyRole</v>
      </c>
      <c r="D102" s="31" t="str">
        <f aca="false">C101&amp;", "&amp;$C$26</f>
        <v>IPIIntermediaryAgent3PartyRoleAccount, InboundPaymentInstruction</v>
      </c>
      <c r="F102" s="0" t="s">
        <v>647</v>
      </c>
    </row>
    <row r="103" customFormat="false" ht="12" hidden="false" customHeight="false" outlineLevel="0" collapsed="false">
      <c r="B103" s="26"/>
      <c r="C103" s="30"/>
      <c r="D103" s="31"/>
    </row>
    <row r="104" customFormat="false" ht="12" hidden="false" customHeight="false" outlineLevel="0" collapsed="false">
      <c r="B104" s="26" t="s">
        <v>72</v>
      </c>
      <c r="C104" s="30" t="str">
        <f aca="false">"IPI"&amp;F104&amp;B104</f>
        <v>IPIInstructedAgentPostalAddress</v>
      </c>
      <c r="D104" s="31"/>
      <c r="F104" s="0" t="s">
        <v>648</v>
      </c>
    </row>
    <row r="105" customFormat="false" ht="12" hidden="false" customHeight="false" outlineLevel="0" collapsed="false">
      <c r="B105" s="26" t="s">
        <v>124</v>
      </c>
      <c r="C105" s="30" t="str">
        <f aca="false">"IPI"&amp;F105&amp;B105</f>
        <v>IPIInstructedAgentPartyIdentification</v>
      </c>
      <c r="D105" s="31" t="str">
        <f aca="false">C104</f>
        <v>IPIInstructedAgentPostalAddress</v>
      </c>
      <c r="F105" s="0" t="s">
        <v>648</v>
      </c>
    </row>
    <row r="106" customFormat="false" ht="12" hidden="false" customHeight="false" outlineLevel="0" collapsed="false">
      <c r="B106" s="26" t="s">
        <v>221</v>
      </c>
      <c r="C106" s="30" t="str">
        <f aca="false">"IPI"&amp;F106&amp;B106</f>
        <v>IPIInstructedAgentPartyRoleAccount</v>
      </c>
      <c r="D106" s="31" t="str">
        <f aca="false">C105</f>
        <v>IPIInstructedAgentPartyIdentification</v>
      </c>
      <c r="F106" s="0" t="s">
        <v>648</v>
      </c>
    </row>
    <row r="107" customFormat="false" ht="24.75" hidden="false" customHeight="false" outlineLevel="0" collapsed="false">
      <c r="B107" s="26" t="s">
        <v>205</v>
      </c>
      <c r="C107" s="30" t="str">
        <f aca="false">"IPI"&amp;F107&amp;B107</f>
        <v>IPIInstructedAgentPaymentPartyRole</v>
      </c>
      <c r="D107" s="31" t="str">
        <f aca="false">C106&amp;", "&amp;$C$26</f>
        <v>IPIInstructedAgentPartyRoleAccount, InboundPaymentInstruction</v>
      </c>
      <c r="F107" s="0" t="s">
        <v>648</v>
      </c>
    </row>
    <row r="108" customFormat="false" ht="12" hidden="false" customHeight="false" outlineLevel="0" collapsed="false">
      <c r="B108" s="26"/>
      <c r="C108" s="30"/>
      <c r="D108" s="31"/>
    </row>
    <row r="109" customFormat="false" ht="12" hidden="false" customHeight="false" outlineLevel="0" collapsed="false">
      <c r="B109" s="26" t="s">
        <v>72</v>
      </c>
      <c r="C109" s="30" t="str">
        <f aca="false">"IPI"&amp;F109&amp;B109</f>
        <v>IPIInstructingAgentPostalAddress</v>
      </c>
      <c r="D109" s="31"/>
      <c r="F109" s="0" t="s">
        <v>649</v>
      </c>
    </row>
    <row r="110" customFormat="false" ht="12" hidden="false" customHeight="false" outlineLevel="0" collapsed="false">
      <c r="B110" s="26" t="s">
        <v>124</v>
      </c>
      <c r="C110" s="30" t="str">
        <f aca="false">"IPI"&amp;F110&amp;B110</f>
        <v>IPIInstructingAgentPartyIdentification</v>
      </c>
      <c r="D110" s="31" t="str">
        <f aca="false">C109</f>
        <v>IPIInstructingAgentPostalAddress</v>
      </c>
      <c r="F110" s="0" t="s">
        <v>649</v>
      </c>
    </row>
    <row r="111" customFormat="false" ht="12" hidden="false" customHeight="false" outlineLevel="0" collapsed="false">
      <c r="B111" s="26" t="s">
        <v>221</v>
      </c>
      <c r="C111" s="30" t="str">
        <f aca="false">"IPI"&amp;F111&amp;B111</f>
        <v>IPIInstructingAgentPartyRoleAccount</v>
      </c>
      <c r="D111" s="31" t="str">
        <f aca="false">C110</f>
        <v>IPIInstructingAgentPartyIdentification</v>
      </c>
      <c r="F111" s="0" t="s">
        <v>649</v>
      </c>
    </row>
    <row r="112" customFormat="false" ht="24.75" hidden="false" customHeight="false" outlineLevel="0" collapsed="false">
      <c r="B112" s="26" t="s">
        <v>205</v>
      </c>
      <c r="C112" s="30" t="str">
        <f aca="false">"IPI"&amp;F112&amp;B112</f>
        <v>IPIInstructingAgentPaymentPartyRole</v>
      </c>
      <c r="D112" s="31" t="str">
        <f aca="false">C111&amp;", "&amp;$C$26</f>
        <v>IPIInstructingAgentPartyRoleAccount, InboundPaymentInstruction</v>
      </c>
      <c r="F112" s="0" t="s">
        <v>649</v>
      </c>
    </row>
    <row r="113" customFormat="false" ht="12" hidden="false" customHeight="false" outlineLevel="0" collapsed="false">
      <c r="B113" s="26"/>
      <c r="C113" s="30"/>
      <c r="D113" s="31"/>
    </row>
    <row r="114" customFormat="false" ht="12" hidden="false" customHeight="false" outlineLevel="0" collapsed="false">
      <c r="B114" s="26" t="s">
        <v>72</v>
      </c>
      <c r="C114" s="30" t="str">
        <f aca="false">"IPI"&amp;F114&amp;B114</f>
        <v>IPIPreviousInstructingAgent1PostalAddress</v>
      </c>
      <c r="D114" s="31"/>
      <c r="F114" s="0" t="s">
        <v>650</v>
      </c>
    </row>
    <row r="115" customFormat="false" ht="12" hidden="false" customHeight="false" outlineLevel="0" collapsed="false">
      <c r="B115" s="26" t="s">
        <v>124</v>
      </c>
      <c r="C115" s="30" t="str">
        <f aca="false">"IPI"&amp;F115&amp;B115</f>
        <v>IPIPreviousInstructingAgent1PartyIdentification</v>
      </c>
      <c r="D115" s="31" t="str">
        <f aca="false">C114</f>
        <v>IPIPreviousInstructingAgent1PostalAddress</v>
      </c>
      <c r="F115" s="0" t="s">
        <v>650</v>
      </c>
    </row>
    <row r="116" customFormat="false" ht="12" hidden="false" customHeight="false" outlineLevel="0" collapsed="false">
      <c r="B116" s="26" t="s">
        <v>221</v>
      </c>
      <c r="C116" s="30" t="str">
        <f aca="false">"IPI"&amp;F116&amp;B116</f>
        <v>IPIPreviousInstructingAgent1PartyRoleAccount</v>
      </c>
      <c r="D116" s="31" t="str">
        <f aca="false">C115</f>
        <v>IPIPreviousInstructingAgent1PartyIdentification</v>
      </c>
      <c r="F116" s="0" t="s">
        <v>650</v>
      </c>
    </row>
    <row r="117" customFormat="false" ht="24.75" hidden="false" customHeight="false" outlineLevel="0" collapsed="false">
      <c r="B117" s="26" t="s">
        <v>205</v>
      </c>
      <c r="C117" s="30" t="str">
        <f aca="false">"IPI"&amp;F117&amp;B117</f>
        <v>IPIPreviousInstructingAgent1PaymentPartyRole</v>
      </c>
      <c r="D117" s="31" t="str">
        <f aca="false">C116&amp;", "&amp;$C$26</f>
        <v>IPIPreviousInstructingAgent1PartyRoleAccount, InboundPaymentInstruction</v>
      </c>
      <c r="F117" s="0" t="s">
        <v>650</v>
      </c>
    </row>
    <row r="118" customFormat="false" ht="12" hidden="false" customHeight="false" outlineLevel="0" collapsed="false">
      <c r="B118" s="26"/>
      <c r="C118" s="30"/>
      <c r="D118" s="31"/>
    </row>
    <row r="119" customFormat="false" ht="12" hidden="false" customHeight="false" outlineLevel="0" collapsed="false">
      <c r="B119" s="26" t="s">
        <v>72</v>
      </c>
      <c r="C119" s="30" t="str">
        <f aca="false">"IPI"&amp;F119&amp;B119</f>
        <v>IPIPreviousInstructingAgent2PostalAddress</v>
      </c>
      <c r="D119" s="31"/>
      <c r="F119" s="0" t="s">
        <v>651</v>
      </c>
    </row>
    <row r="120" customFormat="false" ht="12" hidden="false" customHeight="false" outlineLevel="0" collapsed="false">
      <c r="B120" s="26" t="s">
        <v>124</v>
      </c>
      <c r="C120" s="30" t="str">
        <f aca="false">"IPI"&amp;F120&amp;B120</f>
        <v>IPIPreviousInstructingAgent2PartyIdentification</v>
      </c>
      <c r="D120" s="31" t="str">
        <f aca="false">C119</f>
        <v>IPIPreviousInstructingAgent2PostalAddress</v>
      </c>
      <c r="F120" s="0" t="s">
        <v>651</v>
      </c>
    </row>
    <row r="121" customFormat="false" ht="12" hidden="false" customHeight="false" outlineLevel="0" collapsed="false">
      <c r="B121" s="26" t="s">
        <v>221</v>
      </c>
      <c r="C121" s="30" t="str">
        <f aca="false">"IPI"&amp;F121&amp;B121</f>
        <v>IPIPreviousInstructingAgent2PartyRoleAccount</v>
      </c>
      <c r="D121" s="31" t="str">
        <f aca="false">C120</f>
        <v>IPIPreviousInstructingAgent2PartyIdentification</v>
      </c>
      <c r="F121" s="0" t="s">
        <v>651</v>
      </c>
    </row>
    <row r="122" customFormat="false" ht="24.75" hidden="false" customHeight="false" outlineLevel="0" collapsed="false">
      <c r="B122" s="26" t="s">
        <v>205</v>
      </c>
      <c r="C122" s="30" t="str">
        <f aca="false">"IPI"&amp;F122&amp;B122</f>
        <v>IPIPreviousInstructingAgent2PaymentPartyRole</v>
      </c>
      <c r="D122" s="31" t="str">
        <f aca="false">C121&amp;", "&amp;$C$26</f>
        <v>IPIPreviousInstructingAgent2PartyRoleAccount, InboundPaymentInstruction</v>
      </c>
      <c r="F122" s="0" t="s">
        <v>651</v>
      </c>
    </row>
    <row r="123" customFormat="false" ht="12" hidden="false" customHeight="false" outlineLevel="0" collapsed="false">
      <c r="B123" s="26"/>
      <c r="C123" s="30"/>
      <c r="D123" s="31"/>
    </row>
    <row r="124" customFormat="false" ht="12" hidden="false" customHeight="false" outlineLevel="0" collapsed="false">
      <c r="B124" s="26" t="s">
        <v>72</v>
      </c>
      <c r="C124" s="30" t="str">
        <f aca="false">"IPI"&amp;F124&amp;B124</f>
        <v>IPIPreviousInstructingAgent3PostalAddress</v>
      </c>
      <c r="D124" s="31"/>
      <c r="F124" s="0" t="s">
        <v>652</v>
      </c>
    </row>
    <row r="125" customFormat="false" ht="12" hidden="false" customHeight="false" outlineLevel="0" collapsed="false">
      <c r="B125" s="26" t="s">
        <v>124</v>
      </c>
      <c r="C125" s="30" t="str">
        <f aca="false">"IPI"&amp;F125&amp;B125</f>
        <v>IPIPreviousInstructingAgent3PartyIdentification</v>
      </c>
      <c r="D125" s="31" t="str">
        <f aca="false">C124</f>
        <v>IPIPreviousInstructingAgent3PostalAddress</v>
      </c>
      <c r="F125" s="0" t="s">
        <v>652</v>
      </c>
    </row>
    <row r="126" customFormat="false" ht="12" hidden="false" customHeight="false" outlineLevel="0" collapsed="false">
      <c r="B126" s="26" t="s">
        <v>221</v>
      </c>
      <c r="C126" s="30" t="str">
        <f aca="false">"IPI"&amp;F126&amp;B126</f>
        <v>IPIPreviousInstructingAgent3PartyRoleAccount</v>
      </c>
      <c r="D126" s="31" t="str">
        <f aca="false">C125</f>
        <v>IPIPreviousInstructingAgent3PartyIdentification</v>
      </c>
      <c r="F126" s="0" t="s">
        <v>652</v>
      </c>
    </row>
    <row r="127" customFormat="false" ht="24.75" hidden="false" customHeight="false" outlineLevel="0" collapsed="false">
      <c r="B127" s="26" t="s">
        <v>205</v>
      </c>
      <c r="C127" s="30" t="str">
        <f aca="false">"IPI"&amp;F127&amp;B127</f>
        <v>IPIPreviousInstructingAgent3PaymentPartyRole</v>
      </c>
      <c r="D127" s="31" t="str">
        <f aca="false">C126&amp;", "&amp;$C$26</f>
        <v>IPIPreviousInstructingAgent3PartyRoleAccount, InboundPaymentInstruction</v>
      </c>
      <c r="F127" s="0" t="s">
        <v>652</v>
      </c>
    </row>
    <row r="128" customFormat="false" ht="12" hidden="false" customHeight="false" outlineLevel="0" collapsed="false">
      <c r="B128" s="26"/>
      <c r="C128" s="30"/>
      <c r="D128" s="31"/>
    </row>
    <row r="129" customFormat="false" ht="12" hidden="false" customHeight="false" outlineLevel="0" collapsed="false">
      <c r="B129" s="26" t="s">
        <v>72</v>
      </c>
      <c r="C129" s="30" t="str">
        <f aca="false">"IPI"&amp;F129&amp;B129</f>
        <v>IPIInstructingReimbursementAgentPostalAddress</v>
      </c>
      <c r="D129" s="31"/>
      <c r="F129" s="0" t="s">
        <v>653</v>
      </c>
    </row>
    <row r="130" customFormat="false" ht="12" hidden="false" customHeight="false" outlineLevel="0" collapsed="false">
      <c r="B130" s="26" t="s">
        <v>124</v>
      </c>
      <c r="C130" s="30" t="str">
        <f aca="false">"IPI"&amp;F130&amp;B130</f>
        <v>IPIInstructingReimbursementAgentPartyIdentification</v>
      </c>
      <c r="D130" s="31" t="str">
        <f aca="false">C129</f>
        <v>IPIInstructingReimbursementAgentPostalAddress</v>
      </c>
      <c r="F130" s="0" t="s">
        <v>653</v>
      </c>
    </row>
    <row r="131" customFormat="false" ht="24.75" hidden="false" customHeight="false" outlineLevel="0" collapsed="false">
      <c r="B131" s="26" t="s">
        <v>221</v>
      </c>
      <c r="C131" s="30" t="str">
        <f aca="false">"IPI"&amp;F131&amp;B131</f>
        <v>IPIInstructingReimbursementAgentPartyRoleAccount</v>
      </c>
      <c r="D131" s="31" t="str">
        <f aca="false">C130</f>
        <v>IPIInstructingReimbursementAgentPartyIdentification</v>
      </c>
      <c r="F131" s="0" t="s">
        <v>653</v>
      </c>
    </row>
    <row r="132" customFormat="false" ht="24.75" hidden="false" customHeight="false" outlineLevel="0" collapsed="false">
      <c r="B132" s="26" t="s">
        <v>205</v>
      </c>
      <c r="C132" s="30" t="str">
        <f aca="false">"IPI"&amp;F132&amp;B132</f>
        <v>IPIInstructingReimbursementAgentPaymentPartyRole</v>
      </c>
      <c r="D132" s="31" t="str">
        <f aca="false">C131&amp;", "&amp;$C$26</f>
        <v>IPIInstructingReimbursementAgentPartyRoleAccount, InboundPaymentInstruction</v>
      </c>
      <c r="F132" s="0" t="s">
        <v>653</v>
      </c>
    </row>
    <row r="133" customFormat="false" ht="12" hidden="false" customHeight="false" outlineLevel="0" collapsed="false">
      <c r="B133" s="26"/>
      <c r="C133" s="30"/>
      <c r="D133" s="31"/>
    </row>
    <row r="134" customFormat="false" ht="12" hidden="false" customHeight="false" outlineLevel="0" collapsed="false">
      <c r="B134" s="26" t="s">
        <v>72</v>
      </c>
      <c r="C134" s="30" t="str">
        <f aca="false">"IPI"&amp;F134&amp;B134</f>
        <v>IPIInstructedReimbursementAgentPostalAddress</v>
      </c>
      <c r="D134" s="31"/>
      <c r="F134" s="0" t="s">
        <v>654</v>
      </c>
    </row>
    <row r="135" customFormat="false" ht="12" hidden="false" customHeight="false" outlineLevel="0" collapsed="false">
      <c r="B135" s="26" t="s">
        <v>124</v>
      </c>
      <c r="C135" s="30" t="str">
        <f aca="false">"IPI"&amp;F135&amp;B135</f>
        <v>IPIInstructedReimbursementAgentPartyIdentification</v>
      </c>
      <c r="D135" s="31" t="str">
        <f aca="false">C134</f>
        <v>IPIInstructedReimbursementAgentPostalAddress</v>
      </c>
      <c r="F135" s="0" t="s">
        <v>654</v>
      </c>
    </row>
    <row r="136" customFormat="false" ht="24.75" hidden="false" customHeight="false" outlineLevel="0" collapsed="false">
      <c r="B136" s="26" t="s">
        <v>221</v>
      </c>
      <c r="C136" s="30" t="str">
        <f aca="false">"IPI"&amp;F136&amp;B136</f>
        <v>IPIInstructedReimbursementAgentPartyRoleAccount</v>
      </c>
      <c r="D136" s="31" t="str">
        <f aca="false">C135</f>
        <v>IPIInstructedReimbursementAgentPartyIdentification</v>
      </c>
      <c r="F136" s="0" t="s">
        <v>654</v>
      </c>
    </row>
    <row r="137" customFormat="false" ht="24.75" hidden="false" customHeight="false" outlineLevel="0" collapsed="false">
      <c r="B137" s="26" t="s">
        <v>205</v>
      </c>
      <c r="C137" s="30" t="str">
        <f aca="false">"IPI"&amp;F137&amp;B137</f>
        <v>IPIInstructedReimbursementAgentPaymentPartyRole</v>
      </c>
      <c r="D137" s="31" t="str">
        <f aca="false">C136&amp;", "&amp;$C$26</f>
        <v>IPIInstructedReimbursementAgentPartyRoleAccount, InboundPaymentInstruction</v>
      </c>
      <c r="F137" s="0" t="s">
        <v>654</v>
      </c>
    </row>
    <row r="138" customFormat="false" ht="12" hidden="false" customHeight="false" outlineLevel="0" collapsed="false">
      <c r="B138" s="26"/>
      <c r="C138" s="30"/>
      <c r="D138" s="31"/>
    </row>
    <row r="139" customFormat="false" ht="12" hidden="false" customHeight="false" outlineLevel="0" collapsed="false">
      <c r="B139" s="26" t="s">
        <v>72</v>
      </c>
      <c r="C139" s="30" t="str">
        <f aca="false">"IPI"&amp;F139&amp;B139</f>
        <v>IPIThirdReimbursementAgentPostalAddress</v>
      </c>
      <c r="D139" s="31"/>
      <c r="F139" s="0" t="s">
        <v>655</v>
      </c>
    </row>
    <row r="140" customFormat="false" ht="12" hidden="false" customHeight="false" outlineLevel="0" collapsed="false">
      <c r="B140" s="26" t="s">
        <v>124</v>
      </c>
      <c r="C140" s="30" t="str">
        <f aca="false">"IPI"&amp;F140&amp;B140</f>
        <v>IPIThirdReimbursementAgentPartyIdentification</v>
      </c>
      <c r="D140" s="31" t="str">
        <f aca="false">C139</f>
        <v>IPIThirdReimbursementAgentPostalAddress</v>
      </c>
      <c r="F140" s="0" t="s">
        <v>655</v>
      </c>
    </row>
    <row r="141" customFormat="false" ht="12" hidden="false" customHeight="false" outlineLevel="0" collapsed="false">
      <c r="B141" s="26" t="s">
        <v>221</v>
      </c>
      <c r="C141" s="30" t="str">
        <f aca="false">"IPI"&amp;F141&amp;B141</f>
        <v>IPIThirdReimbursementAgentPartyRoleAccount</v>
      </c>
      <c r="D141" s="31" t="str">
        <f aca="false">C140</f>
        <v>IPIThirdReimbursementAgentPartyIdentification</v>
      </c>
      <c r="F141" s="0" t="s">
        <v>655</v>
      </c>
    </row>
    <row r="142" customFormat="false" ht="24.75" hidden="false" customHeight="false" outlineLevel="0" collapsed="false">
      <c r="B142" s="26" t="s">
        <v>205</v>
      </c>
      <c r="C142" s="30" t="str">
        <f aca="false">"IPI"&amp;F142&amp;B142</f>
        <v>IPIThirdReimbursementAgentPaymentPartyRole</v>
      </c>
      <c r="D142" s="31" t="str">
        <f aca="false">C141&amp;", "&amp;$C$26</f>
        <v>IPIThirdReimbursementAgentPartyRoleAccount, InboundPaymentInstruction</v>
      </c>
      <c r="F142" s="0" t="s">
        <v>655</v>
      </c>
    </row>
    <row r="143" customFormat="false" ht="12" hidden="false" customHeight="false" outlineLevel="0" collapsed="false">
      <c r="B143" s="26"/>
      <c r="C143" s="30"/>
      <c r="D143" s="31"/>
    </row>
    <row r="144" customFormat="false" ht="12" hidden="false" customHeight="false" outlineLevel="0" collapsed="false">
      <c r="B144" s="26" t="s">
        <v>72</v>
      </c>
      <c r="C144" s="30" t="str">
        <f aca="false">"IPI"&amp;F144&amp;B144</f>
        <v>IPIChargesAccountAgentPostalAddress</v>
      </c>
      <c r="D144" s="31"/>
      <c r="F144" s="0" t="s">
        <v>656</v>
      </c>
    </row>
    <row r="145" customFormat="false" ht="12" hidden="false" customHeight="false" outlineLevel="0" collapsed="false">
      <c r="B145" s="26" t="s">
        <v>124</v>
      </c>
      <c r="C145" s="30" t="str">
        <f aca="false">"IPI"&amp;F145&amp;B145</f>
        <v>IPIChargesAccountAgentPartyIdentification</v>
      </c>
      <c r="D145" s="31" t="str">
        <f aca="false">C144</f>
        <v>IPIChargesAccountAgentPostalAddress</v>
      </c>
      <c r="F145" s="0" t="s">
        <v>656</v>
      </c>
    </row>
    <row r="146" customFormat="false" ht="12" hidden="false" customHeight="false" outlineLevel="0" collapsed="false">
      <c r="B146" s="26" t="s">
        <v>221</v>
      </c>
      <c r="C146" s="30" t="str">
        <f aca="false">"IPI"&amp;F146&amp;B146</f>
        <v>IPIChargesAccountAgentPartyRoleAccount</v>
      </c>
      <c r="D146" s="31" t="str">
        <f aca="false">C145</f>
        <v>IPIChargesAccountAgentPartyIdentification</v>
      </c>
      <c r="F146" s="0" t="s">
        <v>656</v>
      </c>
    </row>
    <row r="147" customFormat="false" ht="24.75" hidden="false" customHeight="false" outlineLevel="0" collapsed="false">
      <c r="B147" s="26" t="s">
        <v>205</v>
      </c>
      <c r="C147" s="30" t="str">
        <f aca="false">"IPI"&amp;F147&amp;B147</f>
        <v>IPIChargesAccountAgentPaymentPartyRole</v>
      </c>
      <c r="D147" s="31" t="str">
        <f aca="false">C146&amp;", "&amp;$C$26</f>
        <v>IPIChargesAccountAgentPartyRoleAccount, InboundPaymentInstruction</v>
      </c>
      <c r="F147" s="0" t="s">
        <v>656</v>
      </c>
    </row>
    <row r="148" customFormat="false" ht="12" hidden="false" customHeight="false" outlineLevel="0" collapsed="false">
      <c r="B148" s="26"/>
      <c r="C148" s="30"/>
      <c r="D148" s="31"/>
    </row>
    <row r="149" customFormat="false" ht="12" hidden="false" customHeight="false" outlineLevel="0" collapsed="false">
      <c r="B149" s="26" t="s">
        <v>338</v>
      </c>
      <c r="C149" s="30" t="str">
        <f aca="false">"IPI"&amp;F149&amp;B149</f>
        <v>IPIPointer to the appropriate PaymentPartyRole, depending on what's referenced in the instructionPaymentPartyRoleInstruction</v>
      </c>
      <c r="D149" s="31" t="str">
        <f aca="false">C26&amp;", &lt;PaymentPartyRole&gt;"</f>
        <v>InboundPaymentInstruction, &lt;PaymentPartyRole&gt;</v>
      </c>
      <c r="F149" s="0" t="s">
        <v>657</v>
      </c>
    </row>
    <row r="150" customFormat="false" ht="12" hidden="false" customHeight="false" outlineLevel="0" collapsed="false">
      <c r="B150" s="26"/>
      <c r="C150" s="30"/>
      <c r="D150" s="31"/>
    </row>
    <row r="151" customFormat="false" ht="12" hidden="false" customHeight="false" outlineLevel="0" collapsed="false">
      <c r="B151" s="26"/>
      <c r="C151" s="30"/>
      <c r="D151" s="31"/>
    </row>
    <row r="152" customFormat="false" ht="12" hidden="false" customHeight="false" outlineLevel="0" collapsed="false">
      <c r="B152" s="26"/>
      <c r="C152" s="30"/>
      <c r="D152" s="31"/>
    </row>
    <row r="153" customFormat="false" ht="12" hidden="false" customHeight="false" outlineLevel="0" collapsed="false">
      <c r="B153" s="26"/>
      <c r="C153" s="30"/>
      <c r="D153" s="31"/>
    </row>
    <row r="154" customFormat="false" ht="12" hidden="false" customHeight="false" outlineLevel="0" collapsed="false">
      <c r="B154" s="26"/>
      <c r="C154" s="30"/>
      <c r="D154" s="31"/>
    </row>
    <row r="155" customFormat="false" ht="12" hidden="false" customHeight="false" outlineLevel="0" collapsed="false">
      <c r="B155" s="26"/>
      <c r="C155" s="30"/>
      <c r="D155" s="31"/>
    </row>
    <row r="156" customFormat="false" ht="12" hidden="false" customHeight="false" outlineLevel="0" collapsed="false">
      <c r="B156" s="26"/>
      <c r="C156" s="30"/>
      <c r="D156" s="31"/>
    </row>
    <row r="157" customFormat="false" ht="12" hidden="false" customHeight="false" outlineLevel="0" collapsed="false">
      <c r="B157" s="26"/>
      <c r="C157" s="30"/>
      <c r="D157" s="31"/>
    </row>
    <row r="158" customFormat="false" ht="12" hidden="false" customHeight="false" outlineLevel="0" collapsed="false">
      <c r="B158" s="26"/>
      <c r="C158" s="30"/>
      <c r="D158" s="31"/>
    </row>
    <row r="159" customFormat="false" ht="12" hidden="false" customHeight="false" outlineLevel="0" collapsed="false">
      <c r="B159" s="26"/>
    </row>
    <row r="164" customFormat="false" ht="12" hidden="false" customHeight="false" outlineLevel="0" collapsed="false">
      <c r="B164" s="26" t="s">
        <v>578</v>
      </c>
    </row>
    <row r="165" customFormat="false" ht="12" hidden="false" customHeight="false" outlineLevel="0" collapsed="false">
      <c r="B165" s="26"/>
    </row>
    <row r="166" customFormat="false" ht="12" hidden="false" customHeight="false" outlineLevel="0" collapsed="false">
      <c r="B166" s="26"/>
    </row>
    <row r="167" customFormat="false" ht="12" hidden="false" customHeight="false" outlineLevel="0" collapsed="false">
      <c r="B167" s="26"/>
    </row>
    <row r="177" customFormat="false" ht="12" hidden="false" customHeight="false" outlineLevel="0" collapsed="false">
      <c r="B177" s="26" t="s">
        <v>258</v>
      </c>
    </row>
    <row r="178" customFormat="false" ht="12" hidden="false" customHeight="false" outlineLevel="0" collapsed="false">
      <c r="B178" s="26" t="s">
        <v>251</v>
      </c>
    </row>
    <row r="179" customFormat="false" ht="12" hidden="false" customHeight="false" outlineLevel="0" collapsed="false">
      <c r="B179" s="26" t="s">
        <v>197</v>
      </c>
    </row>
    <row r="180" customFormat="false" ht="12" hidden="false" customHeight="false" outlineLevel="0" collapsed="false">
      <c r="B180" s="26" t="s">
        <v>64</v>
      </c>
    </row>
    <row r="181" customFormat="false" ht="12" hidden="false" customHeight="false" outlineLevel="0" collapsed="false">
      <c r="B181" s="26" t="s">
        <v>248</v>
      </c>
    </row>
    <row r="182" customFormat="false" ht="12" hidden="false" customHeight="false" outlineLevel="0" collapsed="false">
      <c r="B182" s="26" t="s">
        <v>571</v>
      </c>
    </row>
    <row r="202" customFormat="false" ht="12" hidden="false" customHeight="false" outlineLevel="0" collapsed="false">
      <c r="B202" s="2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1" activeCellId="0" sqref="C21"/>
    </sheetView>
  </sheetViews>
  <sheetFormatPr defaultColWidth="8.70703125" defaultRowHeight="12" zeroHeight="false" outlineLevelRow="0" outlineLevelCol="0"/>
  <cols>
    <col collapsed="false" customWidth="true" hidden="false" outlineLevel="0" max="3" min="3" style="0" width="19.09"/>
  </cols>
  <sheetData>
    <row r="1" customFormat="false" ht="12" hidden="false" customHeight="false" outlineLevel="0" collapsed="false">
      <c r="A1" s="0" t="s">
        <v>638</v>
      </c>
    </row>
    <row r="2" customFormat="false" ht="12" hidden="false" customHeight="false" outlineLevel="0" collapsed="false">
      <c r="A2" s="0" t="s">
        <v>638</v>
      </c>
    </row>
    <row r="3" customFormat="false" ht="12" hidden="false" customHeight="false" outlineLevel="0" collapsed="false">
      <c r="A3" s="0" t="s">
        <v>638</v>
      </c>
      <c r="C3" s="0" t="s">
        <v>638</v>
      </c>
    </row>
    <row r="4" customFormat="false" ht="12" hidden="false" customHeight="false" outlineLevel="0" collapsed="false">
      <c r="A4" s="0" t="s">
        <v>638</v>
      </c>
      <c r="C4" s="0" t="s">
        <v>639</v>
      </c>
    </row>
    <row r="5" customFormat="false" ht="12" hidden="false" customHeight="false" outlineLevel="0" collapsed="false">
      <c r="C5" s="0" t="s">
        <v>640</v>
      </c>
    </row>
    <row r="6" customFormat="false" ht="12" hidden="false" customHeight="false" outlineLevel="0" collapsed="false">
      <c r="A6" s="0" t="s">
        <v>639</v>
      </c>
      <c r="C6" s="0" t="s">
        <v>641</v>
      </c>
    </row>
    <row r="7" customFormat="false" ht="12" hidden="false" customHeight="false" outlineLevel="0" collapsed="false">
      <c r="A7" s="0" t="s">
        <v>639</v>
      </c>
      <c r="C7" s="0" t="s">
        <v>642</v>
      </c>
    </row>
    <row r="8" customFormat="false" ht="12" hidden="false" customHeight="false" outlineLevel="0" collapsed="false">
      <c r="A8" s="0" t="s">
        <v>639</v>
      </c>
      <c r="C8" s="0" t="s">
        <v>643</v>
      </c>
    </row>
    <row r="9" customFormat="false" ht="12" hidden="false" customHeight="false" outlineLevel="0" collapsed="false">
      <c r="A9" s="0" t="s">
        <v>639</v>
      </c>
      <c r="C9" s="0" t="s">
        <v>644</v>
      </c>
    </row>
    <row r="10" customFormat="false" ht="12" hidden="false" customHeight="false" outlineLevel="0" collapsed="false">
      <c r="C10" s="0" t="s">
        <v>645</v>
      </c>
    </row>
    <row r="11" customFormat="false" ht="12" hidden="false" customHeight="false" outlineLevel="0" collapsed="false">
      <c r="A11" s="0" t="s">
        <v>640</v>
      </c>
      <c r="C11" s="0" t="s">
        <v>646</v>
      </c>
    </row>
    <row r="12" customFormat="false" ht="12" hidden="false" customHeight="false" outlineLevel="0" collapsed="false">
      <c r="A12" s="0" t="s">
        <v>640</v>
      </c>
      <c r="C12" s="0" t="s">
        <v>647</v>
      </c>
    </row>
    <row r="13" customFormat="false" ht="12" hidden="false" customHeight="false" outlineLevel="0" collapsed="false">
      <c r="A13" s="0" t="s">
        <v>640</v>
      </c>
      <c r="C13" s="0" t="s">
        <v>648</v>
      </c>
    </row>
    <row r="14" customFormat="false" ht="12" hidden="false" customHeight="false" outlineLevel="0" collapsed="false">
      <c r="A14" s="0" t="s">
        <v>640</v>
      </c>
      <c r="C14" s="0" t="s">
        <v>649</v>
      </c>
    </row>
    <row r="16" customFormat="false" ht="12" hidden="false" customHeight="false" outlineLevel="0" collapsed="false">
      <c r="A16" s="0" t="s">
        <v>641</v>
      </c>
    </row>
    <row r="17" customFormat="false" ht="12" hidden="false" customHeight="false" outlineLevel="0" collapsed="false">
      <c r="A17" s="0" t="s">
        <v>641</v>
      </c>
    </row>
    <row r="18" customFormat="false" ht="12" hidden="false" customHeight="false" outlineLevel="0" collapsed="false">
      <c r="A18" s="0" t="s">
        <v>641</v>
      </c>
    </row>
    <row r="19" customFormat="false" ht="12" hidden="false" customHeight="false" outlineLevel="0" collapsed="false">
      <c r="A19" s="0" t="s">
        <v>641</v>
      </c>
    </row>
    <row r="21" customFormat="false" ht="12" hidden="false" customHeight="false" outlineLevel="0" collapsed="false">
      <c r="A21" s="0" t="s">
        <v>642</v>
      </c>
    </row>
    <row r="22" customFormat="false" ht="12" hidden="false" customHeight="false" outlineLevel="0" collapsed="false">
      <c r="A22" s="0" t="s">
        <v>642</v>
      </c>
    </row>
    <row r="23" customFormat="false" ht="12" hidden="false" customHeight="false" outlineLevel="0" collapsed="false">
      <c r="A23" s="0" t="s">
        <v>642</v>
      </c>
    </row>
    <row r="24" customFormat="false" ht="12" hidden="false" customHeight="false" outlineLevel="0" collapsed="false">
      <c r="A24" s="0" t="s">
        <v>642</v>
      </c>
    </row>
    <row r="26" customFormat="false" ht="12" hidden="false" customHeight="false" outlineLevel="0" collapsed="false">
      <c r="A26" s="0" t="s">
        <v>643</v>
      </c>
    </row>
    <row r="27" customFormat="false" ht="12" hidden="false" customHeight="false" outlineLevel="0" collapsed="false">
      <c r="A27" s="0" t="s">
        <v>643</v>
      </c>
    </row>
    <row r="28" customFormat="false" ht="12" hidden="false" customHeight="false" outlineLevel="0" collapsed="false">
      <c r="A28" s="0" t="s">
        <v>643</v>
      </c>
    </row>
    <row r="29" customFormat="false" ht="12" hidden="false" customHeight="false" outlineLevel="0" collapsed="false">
      <c r="A29" s="0" t="s">
        <v>643</v>
      </c>
    </row>
    <row r="31" customFormat="false" ht="12" hidden="false" customHeight="false" outlineLevel="0" collapsed="false">
      <c r="A31" s="0" t="s">
        <v>644</v>
      </c>
    </row>
    <row r="32" customFormat="false" ht="12" hidden="false" customHeight="false" outlineLevel="0" collapsed="false">
      <c r="A32" s="0" t="s">
        <v>644</v>
      </c>
    </row>
    <row r="33" customFormat="false" ht="12" hidden="false" customHeight="false" outlineLevel="0" collapsed="false">
      <c r="A33" s="0" t="s">
        <v>644</v>
      </c>
    </row>
    <row r="34" customFormat="false" ht="12" hidden="false" customHeight="false" outlineLevel="0" collapsed="false">
      <c r="A34" s="0" t="s">
        <v>644</v>
      </c>
    </row>
    <row r="36" customFormat="false" ht="12" hidden="false" customHeight="false" outlineLevel="0" collapsed="false">
      <c r="A36" s="0" t="s">
        <v>645</v>
      </c>
    </row>
    <row r="37" customFormat="false" ht="12" hidden="false" customHeight="false" outlineLevel="0" collapsed="false">
      <c r="A37" s="0" t="s">
        <v>645</v>
      </c>
    </row>
    <row r="38" customFormat="false" ht="12" hidden="false" customHeight="false" outlineLevel="0" collapsed="false">
      <c r="A38" s="0" t="s">
        <v>645</v>
      </c>
    </row>
    <row r="39" customFormat="false" ht="12" hidden="false" customHeight="false" outlineLevel="0" collapsed="false">
      <c r="A39" s="0" t="s">
        <v>645</v>
      </c>
    </row>
    <row r="41" customFormat="false" ht="12" hidden="false" customHeight="false" outlineLevel="0" collapsed="false">
      <c r="A41" s="0" t="s">
        <v>646</v>
      </c>
    </row>
    <row r="42" customFormat="false" ht="12" hidden="false" customHeight="false" outlineLevel="0" collapsed="false">
      <c r="A42" s="0" t="s">
        <v>646</v>
      </c>
    </row>
    <row r="43" customFormat="false" ht="12" hidden="false" customHeight="false" outlineLevel="0" collapsed="false">
      <c r="A43" s="0" t="s">
        <v>646</v>
      </c>
    </row>
    <row r="44" customFormat="false" ht="12" hidden="false" customHeight="false" outlineLevel="0" collapsed="false">
      <c r="A44" s="0" t="s">
        <v>646</v>
      </c>
    </row>
    <row r="46" customFormat="false" ht="12" hidden="false" customHeight="false" outlineLevel="0" collapsed="false">
      <c r="A46" s="0" t="s">
        <v>647</v>
      </c>
    </row>
    <row r="47" customFormat="false" ht="12" hidden="false" customHeight="false" outlineLevel="0" collapsed="false">
      <c r="A47" s="0" t="s">
        <v>647</v>
      </c>
    </row>
    <row r="48" customFormat="false" ht="12" hidden="false" customHeight="false" outlineLevel="0" collapsed="false">
      <c r="A48" s="0" t="s">
        <v>647</v>
      </c>
    </row>
    <row r="49" customFormat="false" ht="12" hidden="false" customHeight="false" outlineLevel="0" collapsed="false">
      <c r="A49" s="0" t="s">
        <v>647</v>
      </c>
    </row>
    <row r="51" customFormat="false" ht="12" hidden="false" customHeight="false" outlineLevel="0" collapsed="false">
      <c r="A51" s="0" t="s">
        <v>648</v>
      </c>
    </row>
    <row r="52" customFormat="false" ht="12" hidden="false" customHeight="false" outlineLevel="0" collapsed="false">
      <c r="A52" s="0" t="s">
        <v>648</v>
      </c>
    </row>
    <row r="53" customFormat="false" ht="12" hidden="false" customHeight="false" outlineLevel="0" collapsed="false">
      <c r="A53" s="0" t="s">
        <v>648</v>
      </c>
    </row>
    <row r="54" customFormat="false" ht="12" hidden="false" customHeight="false" outlineLevel="0" collapsed="false">
      <c r="A54" s="0" t="s">
        <v>648</v>
      </c>
    </row>
    <row r="56" customFormat="false" ht="12" hidden="false" customHeight="false" outlineLevel="0" collapsed="false">
      <c r="A56" s="0" t="s">
        <v>649</v>
      </c>
    </row>
    <row r="57" customFormat="false" ht="12" hidden="false" customHeight="false" outlineLevel="0" collapsed="false">
      <c r="A57" s="0" t="s">
        <v>649</v>
      </c>
    </row>
    <row r="58" customFormat="false" ht="12" hidden="false" customHeight="false" outlineLevel="0" collapsed="false">
      <c r="A58" s="0" t="s">
        <v>649</v>
      </c>
    </row>
    <row r="59" customFormat="false" ht="12" hidden="false" customHeight="false" outlineLevel="0" collapsed="false">
      <c r="A59" s="0" t="s">
        <v>649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e491a47-3780-4c40-a92e-7cdf62cc77f5" xsi:nil="true"/>
    <lcf76f155ced4ddcb4097134ff3c332f xmlns="75bb013c-a918-4405-902b-66b99abebcf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6615B8C99ADF549B2D42C71C853D2B2" ma:contentTypeVersion="14" ma:contentTypeDescription="Create a new document." ma:contentTypeScope="" ma:versionID="53cb544f992bb47a6c37fefa1d334edb">
  <xsd:schema xmlns:xsd="http://www.w3.org/2001/XMLSchema" xmlns:xs="http://www.w3.org/2001/XMLSchema" xmlns:p="http://schemas.microsoft.com/office/2006/metadata/properties" xmlns:ns2="75bb013c-a918-4405-902b-66b99abebcf1" xmlns:ns3="1e491a47-3780-4c40-a92e-7cdf62cc77f5" targetNamespace="http://schemas.microsoft.com/office/2006/metadata/properties" ma:root="true" ma:fieldsID="463ffa1ebe2691fb478830985fb41284" ns2:_="" ns3:_="">
    <xsd:import namespace="75bb013c-a918-4405-902b-66b99abebcf1"/>
    <xsd:import namespace="1e491a47-3780-4c40-a92e-7cdf62cc77f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bb013c-a918-4405-902b-66b99abebc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f0b2fa2-59f5-45f6-8de5-7357181cf6a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491a47-3780-4c40-a92e-7cdf62cc77f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83c6e36-fd5c-4e40-bc21-f18c6fe1d8c0}" ma:internalName="TaxCatchAll" ma:showField="CatchAllData" ma:web="1e491a47-3780-4c40-a92e-7cdf62cc77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93044D-FF99-4F3E-9BFE-19D50977A3E4}">
  <ds:schemaRefs>
    <ds:schemaRef ds:uri="http://schemas.microsoft.com/office/2006/metadata/properties"/>
    <ds:schemaRef ds:uri="http://schemas.microsoft.com/office/infopath/2007/PartnerControls"/>
    <ds:schemaRef ds:uri="1e491a47-3780-4c40-a92e-7cdf62cc77f5"/>
    <ds:schemaRef ds:uri="75bb013c-a918-4405-902b-66b99abebcf1"/>
  </ds:schemaRefs>
</ds:datastoreItem>
</file>

<file path=customXml/itemProps2.xml><?xml version="1.0" encoding="utf-8"?>
<ds:datastoreItem xmlns:ds="http://schemas.openxmlformats.org/officeDocument/2006/customXml" ds:itemID="{DBEA7A8B-B0C3-49F2-A92C-2CC358A70046}">
  <ds:schemaRefs>
    <ds:schemaRef ds:uri="http://schemas.microsoft.com/sharepoint/v3/contenttype/forms"/>
  </ds:schemaRefs>
</ds:datastoreItem>
</file>

<file path=customXml/itemProps3.xml><?xml version="1.0" encoding="utf-8"?>
<ds:datastoreItem xmlns:ds="http://schemas.openxmlformats.org/officeDocument/2006/customXml" ds:itemID="{D6CD1C4C-C9DB-463E-A4B2-274CE14DB1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bb013c-a918-4405-902b-66b99abebcf1"/>
    <ds:schemaRef ds:uri="1e491a47-3780-4c40-a92e-7cdf62cc77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576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2024-04-18T14:17:57Z</dcterms:created>
  <dc:creator>Tom Kimber (ICON0245)</dc:creator>
  <dc:description/>
  <dc:language>en-GB</dc:language>
  <cp:lastModifiedBy/>
  <dcterms:modified xsi:type="dcterms:W3CDTF">2025-06-26T17:52:25Z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0x01010096615B8C99ADF549B2D42C71C853D2B2</vt:lpwstr>
  </property>
  <property fmtid="{D5CDD505-2E9C-101B-9397-08002B2CF9AE}" pid="3" name="MediaServiceImageTags">
    <vt:lpwstr/>
  </property>
</Properties>
</file>