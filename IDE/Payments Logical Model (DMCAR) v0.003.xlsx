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ICON0245\Documents\Danske\Modelling\"/>
    </mc:Choice>
  </mc:AlternateContent>
  <xr:revisionPtr revIDLastSave="0" documentId="13_ncr:1_{ACEF1485-250B-4D98-874C-3E3730508D03}" xr6:coauthVersionLast="47" xr6:coauthVersionMax="47" xr10:uidLastSave="{00000000-0000-0000-0000-000000000000}"/>
  <bookViews>
    <workbookView xWindow="-6990" yWindow="-21000" windowWidth="35760" windowHeight="18090" tabRatio="500" xr2:uid="{00000000-000D-0000-FFFF-FFFF00000000}"/>
  </bookViews>
  <sheets>
    <sheet name="DMCAR" sheetId="1" r:id="rId1"/>
    <sheet name="DataTypes" sheetId="5" r:id="rId2"/>
    <sheet name="Mapping" sheetId="2" r:id="rId3"/>
    <sheet name="Requirement" sheetId="3" r:id="rId4"/>
    <sheet name="List of party roles" sheetId="4" r:id="rId5"/>
  </sheets>
  <definedNames>
    <definedName name="_xlnm._FilterDatabase" localSheetId="0" hidden="1">DMCAR!$A$1:$AQ$250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F104" i="1" l="1"/>
  <c r="AF222" i="1"/>
  <c r="AF223" i="1"/>
  <c r="AF224" i="1"/>
  <c r="AF225" i="1"/>
  <c r="AF226" i="1"/>
  <c r="AF95" i="1"/>
  <c r="AF96" i="1"/>
  <c r="AF97" i="1"/>
  <c r="AF98" i="1"/>
  <c r="AF99" i="1"/>
  <c r="AF100" i="1"/>
  <c r="AF101" i="1"/>
  <c r="AF102" i="1"/>
  <c r="AF103"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2" i="1"/>
  <c r="X171" i="1"/>
  <c r="X172" i="1" s="1"/>
  <c r="X173" i="1" s="1"/>
  <c r="X174" i="1" s="1"/>
  <c r="X175" i="1" s="1"/>
  <c r="X176" i="1" s="1"/>
  <c r="X177" i="1" s="1"/>
  <c r="X178" i="1" s="1"/>
  <c r="X179" i="1" s="1"/>
  <c r="X180" i="1" s="1"/>
  <c r="X181" i="1" s="1"/>
  <c r="X182" i="1" s="1"/>
  <c r="X183" i="1" s="1"/>
  <c r="X184" i="1" s="1"/>
  <c r="X185" i="1" s="1"/>
  <c r="X186" i="1" s="1"/>
  <c r="X187" i="1" s="1"/>
  <c r="X188" i="1" s="1"/>
  <c r="X189" i="1" s="1"/>
  <c r="X190" i="1" s="1"/>
  <c r="X191" i="1" s="1"/>
  <c r="X192" i="1" s="1"/>
  <c r="X193" i="1" s="1"/>
  <c r="X194" i="1" s="1"/>
  <c r="X195" i="1" s="1"/>
  <c r="X196" i="1" s="1"/>
  <c r="X197" i="1" s="1"/>
  <c r="X198" i="1" s="1"/>
  <c r="X199" i="1" s="1"/>
  <c r="X200" i="1" s="1"/>
  <c r="X201" i="1" s="1"/>
  <c r="X202" i="1" s="1"/>
  <c r="X203" i="1" s="1"/>
  <c r="X204" i="1" s="1"/>
  <c r="X205" i="1" s="1"/>
  <c r="X206" i="1" s="1"/>
  <c r="X207" i="1" s="1"/>
  <c r="X208" i="1" s="1"/>
  <c r="X209" i="1" s="1"/>
  <c r="X210" i="1" s="1"/>
  <c r="X211" i="1" s="1"/>
  <c r="X212" i="1" s="1"/>
  <c r="X213" i="1" s="1"/>
  <c r="X214" i="1" s="1"/>
  <c r="X220" i="1"/>
  <c r="X221" i="1" s="1"/>
  <c r="X222" i="1" s="1"/>
  <c r="X223" i="1" s="1"/>
  <c r="X224" i="1" s="1"/>
  <c r="X225" i="1" s="1"/>
  <c r="X226" i="1" s="1"/>
  <c r="X227" i="1" s="1"/>
  <c r="X228" i="1" s="1"/>
</calcChain>
</file>

<file path=xl/sharedStrings.xml><?xml version="1.0" encoding="utf-8"?>
<sst xmlns="http://schemas.openxmlformats.org/spreadsheetml/2006/main" count="7620" uniqueCount="723">
  <si>
    <t>Namespace</t>
  </si>
  <si>
    <t>NamespaceLabel</t>
  </si>
  <si>
    <t>NamespaceDescription</t>
  </si>
  <si>
    <t>Domain</t>
  </si>
  <si>
    <t>DomainLabel</t>
  </si>
  <si>
    <t>DomainDescription</t>
  </si>
  <si>
    <t>ParentDomain</t>
  </si>
  <si>
    <t>DomainEvent</t>
  </si>
  <si>
    <t>DomainEventLabel</t>
  </si>
  <si>
    <t>DomainEventDescription</t>
  </si>
  <si>
    <t>DomainParticipant</t>
  </si>
  <si>
    <t>DomainParticipantLabel</t>
  </si>
  <si>
    <t>DomainParticipantDescription</t>
  </si>
  <si>
    <t>Model</t>
  </si>
  <si>
    <t>ModelLabel</t>
  </si>
  <si>
    <t>ModelDescription</t>
  </si>
  <si>
    <t>ModelType</t>
  </si>
  <si>
    <t>Class</t>
  </si>
  <si>
    <t>ClassLabel</t>
  </si>
  <si>
    <t>ClassDescription</t>
  </si>
  <si>
    <t>Attribute</t>
  </si>
  <si>
    <t>AttributeLabel</t>
  </si>
  <si>
    <t>AttributeDescription</t>
  </si>
  <si>
    <t>Sequence</t>
  </si>
  <si>
    <t>DataType</t>
  </si>
  <si>
    <t>Nulls</t>
  </si>
  <si>
    <t>IsPK</t>
  </si>
  <si>
    <t>Relationship</t>
  </si>
  <si>
    <t>RelationshipLabel</t>
  </si>
  <si>
    <t>RelationshipDescription</t>
  </si>
  <si>
    <t>RelationshipType</t>
  </si>
  <si>
    <t>FromNamespace</t>
  </si>
  <si>
    <t>FromClass</t>
  </si>
  <si>
    <t>FromAttribute</t>
  </si>
  <si>
    <t>FromCardinality</t>
  </si>
  <si>
    <t>ToNamespace</t>
  </si>
  <si>
    <t>ToClass</t>
  </si>
  <si>
    <t>ToAttribute</t>
  </si>
  <si>
    <t>ToCardinality</t>
  </si>
  <si>
    <t>PaymentsConceptual</t>
  </si>
  <si>
    <t>Payment</t>
  </si>
  <si>
    <t>PaymentMessage</t>
  </si>
  <si>
    <t>Payment Message</t>
  </si>
  <si>
    <t>A referrence to any record of communication regards a payment, be it instructions, or requests for status that pass over an Integration Channel.</t>
  </si>
  <si>
    <t>Where payments are instructed as part of a group, the group is associated to the PaymentInstruction that instructed them. Grouped payments might optionally generate different booking entries (e.g. multiple credits offset against a single debit)</t>
  </si>
  <si>
    <t>InterfaceMedia</t>
  </si>
  <si>
    <t>Interface Media</t>
  </si>
  <si>
    <t xml:space="preserve">Payment Media are sets of electronic media that perform as interfaces across different payment execution services, over which payment Instructions are communicated. They might be carried over files, APIs, or collections of message-formats. A payment service will tend to be associated with one or more Payment Media sets. </t>
  </si>
  <si>
    <t>MessageType</t>
  </si>
  <si>
    <t>Message Type</t>
  </si>
  <si>
    <t>Within a given InterfaceMedia scheme definition, there will be a collection of individually typed messages, each focused on performing some functional aspect of the broad set of payment processing.</t>
  </si>
  <si>
    <t>MessageFunction</t>
  </si>
  <si>
    <t>Irrespective of formatting differences, any message defined within a MessageSet will be aligned with a particular business function. (Instruction, Cancellation, Confirmation, Rejection, Query etc)</t>
  </si>
  <si>
    <t>Interface</t>
  </si>
  <si>
    <t>Represents a communication interface capable of receiving and transmitting messages defined by interface-specific Instruction Media. Each interface will have a number of registered participants who communicate over the interface using agreed media.</t>
  </si>
  <si>
    <t>Channel</t>
  </si>
  <si>
    <t xml:space="preserve">A subclass of interface that primarily deals with a financial institutions communication with its clients. Different channels might be associated with different financial services, products or communication protocols establisheb between FI and clients. </t>
  </si>
  <si>
    <t>Investigation</t>
  </si>
  <si>
    <t>Party</t>
  </si>
  <si>
    <t>An association between party and role, defining which parties are performing which roles within the processing of a payment from an objective perspective.</t>
  </si>
  <si>
    <t>A fixed set of roles that can be played by parties within the context of performance of a payment.</t>
  </si>
  <si>
    <t>Person</t>
  </si>
  <si>
    <t>Human entity, as distinguished from a corporate entity (which is sometimes referred to as an 'artificial person').</t>
  </si>
  <si>
    <t>Organisation</t>
  </si>
  <si>
    <t>Organised structure that is set up for a particular purpose. For example, a business, government body, department, charity, or financial institution.</t>
  </si>
  <si>
    <t>AccountServicer</t>
  </si>
  <si>
    <t>Account Servicer</t>
  </si>
  <si>
    <t>Account</t>
  </si>
  <si>
    <t xml:space="preserve">An account is a record of transactions in specific types of assets, maintained by a servicing party (the AccountServicer) on behalf of one or more Holding parties, or in the case of internal booking accounts, to classify bookings of a similar nature. </t>
  </si>
  <si>
    <t>Many</t>
  </si>
  <si>
    <t>One</t>
  </si>
  <si>
    <t>PartOfGroup</t>
  </si>
  <si>
    <t>Reference to the group that this payment is a part of</t>
  </si>
  <si>
    <t>Mapping</t>
  </si>
  <si>
    <t>SourceNamespace</t>
  </si>
  <si>
    <t>SourceModel</t>
  </si>
  <si>
    <t>SourceClass</t>
  </si>
  <si>
    <t>SourceAttribute</t>
  </si>
  <si>
    <t>TargetNamespace</t>
  </si>
  <si>
    <t>TargetModel</t>
  </si>
  <si>
    <t>TargetClass</t>
  </si>
  <si>
    <t>TargetAttribute</t>
  </si>
  <si>
    <t>Translation</t>
  </si>
  <si>
    <t>Project</t>
  </si>
  <si>
    <t>PrimaryStakeholder</t>
  </si>
  <si>
    <t>PrimaryStakeholderDescription</t>
  </si>
  <si>
    <t>RequirementId</t>
  </si>
  <si>
    <t>Name</t>
  </si>
  <si>
    <t>Description</t>
  </si>
  <si>
    <t>Payments</t>
  </si>
  <si>
    <t>Payment information and processes required to transfer cash end to end from a debtor to the creditor.</t>
  </si>
  <si>
    <t>PaymentsLogical</t>
  </si>
  <si>
    <t>CashEntry</t>
  </si>
  <si>
    <t>Posting of an item to a cash account, in the context of a cash transaction, that results in an increase or decrease to the balance of the account.</t>
  </si>
  <si>
    <t>Obligation</t>
  </si>
  <si>
    <t>Specifies the different identifications associated with a payment transaction.</t>
  </si>
  <si>
    <t>PaymentIdentification</t>
  </si>
  <si>
    <t>Charges</t>
  </si>
  <si>
    <t>DirectDebitMandate</t>
  </si>
  <si>
    <t>Core Payment Domain covering specific entities and properties attributable directly to a Payment Transaction</t>
  </si>
  <si>
    <t>Messaging</t>
  </si>
  <si>
    <t>Messaging domain covers the various functional signals that are sent between participants in the course of negotiating, executing and querying payments within the context of a payments interface.</t>
  </si>
  <si>
    <t xml:space="preserve">The Interface domain covers the systems, protocols, participants and controls that enable payments to be made between Account Servicing and Account Holding parties. </t>
  </si>
  <si>
    <t>Accounts</t>
  </si>
  <si>
    <t>Accounts domain covers the theme of booking debits and credits into Accounts, where those accounts are held by and serviced by Account Servicing and Account Holding parties.</t>
  </si>
  <si>
    <t xml:space="preserve">Party domain describes entities that participate within the Payments domain. They might be Individuals or Organisations, and they will play different roles within the context of a Payment transaction. </t>
  </si>
  <si>
    <t>Where some non-systematic issue arises outside of the functions normally provided for within an Interface's Messaging capability, the Investigation domain will cover the types of activities and data retained to perform such activity.</t>
  </si>
  <si>
    <t>Top level domain covering all aspects of the process of transacting cash between account-holding parties.</t>
  </si>
  <si>
    <t>Processing</t>
  </si>
  <si>
    <t xml:space="preserve">Processing domain covers internal decision making, rule and logic capture performed by the Payment processing entity in the course of executing a payment. </t>
  </si>
  <si>
    <t>Root</t>
  </si>
  <si>
    <t>Authorisation given by a debtor to a party enabling them to initiate payments transferring funds from the debtor's account.</t>
  </si>
  <si>
    <t>UniqueInternalPaymentIdentifier</t>
  </si>
  <si>
    <t>Unique Internal Payment Identifier</t>
  </si>
  <si>
    <t>Yes</t>
  </si>
  <si>
    <t>CurrencyExchange</t>
  </si>
  <si>
    <t>Currency Exchange</t>
  </si>
  <si>
    <t>Information needed to process a currency exchange or conversion.</t>
  </si>
  <si>
    <t>PaymentInvestigationCase</t>
  </si>
  <si>
    <t xml:space="preserve">Set of activities performed to handle an exception to a normal payment transaction flow, such as: - a payment has not been received. - a payment has been received but is incorrect. - a payment must be corrected or cancelled (requested by the party which ordered the payment).
An investigation case raised against a specific payment or collection of payments. Investigation types might include request for update, or to oversee the process of requesting and performing cancellations. </t>
  </si>
  <si>
    <t>Payment Investigation Case</t>
  </si>
  <si>
    <t>An identifier that is unique to this payment instruction block.</t>
  </si>
  <si>
    <t>PaymentInstructionGroup</t>
  </si>
  <si>
    <t>Payment Instruction Group</t>
  </si>
  <si>
    <t>PaymentInstructionGroupIdentifier</t>
  </si>
  <si>
    <t>ParentPaymentInstructionGroupIdentifier</t>
  </si>
  <si>
    <t>Payment Instruction Group Identifier</t>
  </si>
  <si>
    <t>Parent Payment Instruction Group Identifier</t>
  </si>
  <si>
    <t>An optional pointer to any higher-level group that this group my be a part of. Enables the establishment of a nested hierarchy of groups that mirrors the nested hierarchy of some message-types.</t>
  </si>
  <si>
    <t>Query</t>
  </si>
  <si>
    <t>Instruction</t>
  </si>
  <si>
    <t>Cancellation</t>
  </si>
  <si>
    <t>Advice</t>
  </si>
  <si>
    <t>StandingOrder</t>
  </si>
  <si>
    <t>Standing Order</t>
  </si>
  <si>
    <t>An agreement to initiate a credit transfer to a named party at some pre-defined schedule.</t>
  </si>
  <si>
    <t>PaymentRole</t>
  </si>
  <si>
    <t>Payment Role</t>
  </si>
  <si>
    <t>PaymentPartyRole</t>
  </si>
  <si>
    <t>Payment Party Role</t>
  </si>
  <si>
    <t>AccountRole</t>
  </si>
  <si>
    <t>Account Role</t>
  </si>
  <si>
    <t>A fixed set of roles that can be played by parties relating to an Account.</t>
  </si>
  <si>
    <t>Type</t>
  </si>
  <si>
    <t>A legal entity capable of performing a role within a range of contexts.</t>
  </si>
  <si>
    <t>Debtor</t>
  </si>
  <si>
    <t>Creditor</t>
  </si>
  <si>
    <t>DebtorAgent</t>
  </si>
  <si>
    <t>CreditorAgent</t>
  </si>
  <si>
    <t>InstructingAgent</t>
  </si>
  <si>
    <t>InstructedAgent</t>
  </si>
  <si>
    <t>UltimateDebtor</t>
  </si>
  <si>
    <t>UltimateCreditor</t>
  </si>
  <si>
    <t>Party that manages the account on behalf of the account owner, that is manages the registration and booking of entries on the account, calculates balances on the account and provides information about the account.</t>
  </si>
  <si>
    <t xml:space="preserve">
Party that legally owns the account.</t>
  </si>
  <si>
    <t>AccountOwner</t>
  </si>
  <si>
    <t>A namespace used to uniquely identify objects within the Payments Logical data model.</t>
  </si>
  <si>
    <t>A reference to the payment instruction group within which this payment was initiated.</t>
  </si>
  <si>
    <t>Logical</t>
  </si>
  <si>
    <t>InstructionIdentifier</t>
  </si>
  <si>
    <t>EndToEndIdentifier</t>
  </si>
  <si>
    <t>TransactionIdentifier</t>
  </si>
  <si>
    <t>UETR</t>
  </si>
  <si>
    <t>ClearingSystemReference</t>
  </si>
  <si>
    <t>ClearingChannelCode</t>
  </si>
  <si>
    <t>ServiceLevel</t>
  </si>
  <si>
    <t>LocalInstrument</t>
  </si>
  <si>
    <t>CategoryPurpose</t>
  </si>
  <si>
    <t>SettlementAmount</t>
  </si>
  <si>
    <t>SettlementAmountCurrency</t>
  </si>
  <si>
    <t>SettlementDate</t>
  </si>
  <si>
    <t>SettlementPriority</t>
  </si>
  <si>
    <t>SettlementTimeRequest</t>
  </si>
  <si>
    <t>AcceptanceDateTime</t>
  </si>
  <si>
    <t>InstructedAmount</t>
  </si>
  <si>
    <t>InstructedAmountCurrency</t>
  </si>
  <si>
    <t>ExchangeRate</t>
  </si>
  <si>
    <t>ChargeBearerCode</t>
  </si>
  <si>
    <t>Purpose</t>
  </si>
  <si>
    <t>SettlementMethod</t>
  </si>
  <si>
    <t>ClearingSystem</t>
  </si>
  <si>
    <t>BatchBookingFlag</t>
  </si>
  <si>
    <t>SettlementDateTimeDebit</t>
  </si>
  <si>
    <t>SettlementDateTimeCredit</t>
  </si>
  <si>
    <t>DebtorReference</t>
  </si>
  <si>
    <t>CreditorReference</t>
  </si>
  <si>
    <t>DebtorAgentReference</t>
  </si>
  <si>
    <t>CreditorAgentReference</t>
  </si>
  <si>
    <t>DebtorInstructedAccount</t>
  </si>
  <si>
    <t>CreditorInstructedAccount</t>
  </si>
  <si>
    <t>PostalAddress</t>
  </si>
  <si>
    <t>Information that locates and identifies a specific address, as defined by postal services.</t>
  </si>
  <si>
    <t>AddressType</t>
  </si>
  <si>
    <t>CareOf</t>
  </si>
  <si>
    <t>Text</t>
  </si>
  <si>
    <t>Department</t>
  </si>
  <si>
    <t>SubDepartment</t>
  </si>
  <si>
    <t>BuildingNumber</t>
  </si>
  <si>
    <t>BuildingName</t>
  </si>
  <si>
    <t>StreetName</t>
  </si>
  <si>
    <t>Floor</t>
  </si>
  <si>
    <t>UnitNumber</t>
  </si>
  <si>
    <t>PostBox</t>
  </si>
  <si>
    <t>Room</t>
  </si>
  <si>
    <t>PostCode</t>
  </si>
  <si>
    <t>TownName</t>
  </si>
  <si>
    <t>TownLocationName</t>
  </si>
  <si>
    <t>DistrictName</t>
  </si>
  <si>
    <t>CountrySubDivision</t>
  </si>
  <si>
    <t>ISOCountryCode</t>
  </si>
  <si>
    <t>UnstructuredAddressLine1</t>
  </si>
  <si>
    <t>UnstructuredAddressLine2</t>
  </si>
  <si>
    <t>UnstructuredAddressLine3</t>
  </si>
  <si>
    <t>UnstructuredAddressLine4</t>
  </si>
  <si>
    <t>UnstructuredAddressLine5</t>
  </si>
  <si>
    <t>UnstructuredAddressLine6</t>
  </si>
  <si>
    <t>UnstructuredAddressLine7</t>
  </si>
  <si>
    <t>PartyIdentification</t>
  </si>
  <si>
    <t>Specifies the identification of a person or an organisation.</t>
  </si>
  <si>
    <t>PostalAddressIdentifier</t>
  </si>
  <si>
    <t>SchemeIssuedIdentifier</t>
  </si>
  <si>
    <t>IdentifyingScheme</t>
  </si>
  <si>
    <t>IdentityIssuer</t>
  </si>
  <si>
    <t>DateOfBirth</t>
  </si>
  <si>
    <t>ProvinceOfBirth</t>
  </si>
  <si>
    <t>CityOfBirth</t>
  </si>
  <si>
    <t>CountryOfBirth</t>
  </si>
  <si>
    <t>PartyType</t>
  </si>
  <si>
    <t>LEIIdentifier</t>
  </si>
  <si>
    <t>PartyIdentificationInstanceID</t>
  </si>
  <si>
    <t>Identifier</t>
  </si>
  <si>
    <t>ValidValues</t>
  </si>
  <si>
    <t>InitiatingInterfaceID</t>
  </si>
  <si>
    <t>InboundInterfaceID</t>
  </si>
  <si>
    <t>OutboundInterfaceID</t>
  </si>
  <si>
    <t>InitiatingInterface</t>
  </si>
  <si>
    <t>InboundInterface</t>
  </si>
  <si>
    <t>OutboundInterface</t>
  </si>
  <si>
    <t>InterfaceID</t>
  </si>
  <si>
    <t xml:space="preserve"> </t>
  </si>
  <si>
    <t>InterfaceType</t>
  </si>
  <si>
    <t>PaymentPartyRoleID</t>
  </si>
  <si>
    <t xml:space="preserve">A primary key uniquely identifying a particular payment party role assignment for a specific payment. </t>
  </si>
  <si>
    <t>The payment that this association is applicable to.</t>
  </si>
  <si>
    <t>The party identification information specified to identify the party.</t>
  </si>
  <si>
    <t xml:space="preserve">The payment role that the party performs within this association. </t>
  </si>
  <si>
    <t>Link to the payment for which this party role association is applicable</t>
  </si>
  <si>
    <t>Liink to the identification information supplied to identify a party</t>
  </si>
  <si>
    <t>PaymentPartyRoleAccount</t>
  </si>
  <si>
    <t>An account identifier associated with a PaymentPartyRole</t>
  </si>
  <si>
    <t>AccountHoldingParty</t>
  </si>
  <si>
    <t>AccountServicingParty</t>
  </si>
  <si>
    <t>AccountType</t>
  </si>
  <si>
    <t>AccountCurrency</t>
  </si>
  <si>
    <t>AccountName</t>
  </si>
  <si>
    <t>AccountProxyType</t>
  </si>
  <si>
    <t>PaymentPartyRoleAccountID</t>
  </si>
  <si>
    <t>AccountHolder</t>
  </si>
  <si>
    <t>AccountProxyID</t>
  </si>
  <si>
    <t>The (optional) payment account associated with this payment party role.</t>
  </si>
  <si>
    <t>InstructionPriority</t>
  </si>
  <si>
    <t>ISO Mapping</t>
  </si>
  <si>
    <t>pacs.008.FIToFICstmrCdtTrf.CdtTrfTxInf.PmtTpInf.InstrPrty</t>
  </si>
  <si>
    <t>pacs.008.FIToFICstmrCdtTrf.CdtTrfTxInf.PmtTpInf.ClrChanl</t>
  </si>
  <si>
    <t>pacs.008.FIToFICstmrCdtTrf.CdtTrfTxInf.PmtTpInf.SvcLvl</t>
  </si>
  <si>
    <t>pacs.008.FIToFICstmrCdtTrf.CdtTrfTxInf.PmtTpInf.LclInstrm</t>
  </si>
  <si>
    <t>pacs.008.FIToFICstmrCdtTrf.CdtTrfTxInf.PmtTpInf.CtgyPurp</t>
  </si>
  <si>
    <t>pacs.008.FIToFICstmrCdtTrf.CdtTrfTxInf.PmtId.ClrSysRef</t>
  </si>
  <si>
    <t>pacs.008.FIToFICstmrCdtTrf.CdtTrfTxInf.PmtId.InstrId</t>
  </si>
  <si>
    <t>pacs.008.FIToFICstmrCdtTrf.CdtTrfTxInf.PmtId.EndToEndId</t>
  </si>
  <si>
    <t>pacs.008.FIToFICstmrCdtTrf.CdtTrfTxInf.PmtId.TxId</t>
  </si>
  <si>
    <t>pacs.008.FIToFICstmrCdtTrf.CdtTrfTxInf.PmtId.UETR</t>
  </si>
  <si>
    <t>pacs.008.FIToFICstmrCdtTrf.InstdAmt</t>
  </si>
  <si>
    <t>pacs.008.FIToFICstmrCdtTrf.XchgRate</t>
  </si>
  <si>
    <t>pacs.008.FIToFICstmrCdtTrf.ChrgBr</t>
  </si>
  <si>
    <t>pacs.008.FIToFICstmrCdtTrf.SttlmPrty</t>
  </si>
  <si>
    <t>pacs.008.FIToFICstmrCdtTrf.IntrBkSttlmDt</t>
  </si>
  <si>
    <t>pacs.008.FIToFICstmrCdtTrf.IntrBkSttlmAmt</t>
  </si>
  <si>
    <t>pacs.008.FIToFICstmrCdtTrf.CdtTrfTxInf.Purp</t>
  </si>
  <si>
    <t>pacs.008.FIToFICstmrCdtTrf.GrpHdr.SttlmInf.SttlmMtd</t>
  </si>
  <si>
    <t>pacs.008.FIToFICstmrCdtTrf.GrpHdr.SttlmInf.ClrSys</t>
  </si>
  <si>
    <t>pacs.008.FIToFICstmrCdtTrf.SttlmTmIndctn.DbtDtTm</t>
  </si>
  <si>
    <t>pacs.008.FIToFICstmrCdtTrf.SttlmTmIndctn.CdtDtTm</t>
  </si>
  <si>
    <t>pacs.008.FIToFICstmrCdtTrf.SttlmTmReq</t>
  </si>
  <si>
    <t>pacs.008.FIToFICstmrCdtTrf.AccptncDtTm</t>
  </si>
  <si>
    <t>Proprietary</t>
  </si>
  <si>
    <t>PoolingAdjustmentDate</t>
  </si>
  <si>
    <t>pacs.008.FIToFICstmrCdtTrf.PoolgAdjstmntDt</t>
  </si>
  <si>
    <t>pacs.008.FIToFICstmrCdtTrf.InstdAmt[Ccy]</t>
  </si>
  <si>
    <t>pacs.008.FIToFICstmrCdtTrf.GrpHdr.BtchBookg / pain.001.CstmrCdtTrfInitn.PmtInf.BtchBookg</t>
  </si>
  <si>
    <t>UniquePaymentMessageIdentifier</t>
  </si>
  <si>
    <t>MessageIdentifyingReference</t>
  </si>
  <si>
    <t>MessageSender</t>
  </si>
  <si>
    <t>AssociatedPayment</t>
  </si>
  <si>
    <t>AssociatedMessage</t>
  </si>
  <si>
    <t>A pointer to the message in which this group was defined.</t>
  </si>
  <si>
    <t>MessageContainer</t>
  </si>
  <si>
    <t>An account referenced in the payment instruction in context of an account holder and servicer relationship.</t>
  </si>
  <si>
    <t>ChargesIdentifier</t>
  </si>
  <si>
    <t>ChargeAmount</t>
  </si>
  <si>
    <t>ChargeCurrency</t>
  </si>
  <si>
    <t>ChargingAgent</t>
  </si>
  <si>
    <t>ChargeType</t>
  </si>
  <si>
    <t>pacs.008.FIToFICstmrCdtTrf.ChrgsInf.Amt</t>
  </si>
  <si>
    <t>pacs.008.FIToFICstmrCdtTrf.ChrgsInf.Amt[Ccy]</t>
  </si>
  <si>
    <t>pacs.008.FIToFICstmrCdtTrf.ChrgsInf.Agt</t>
  </si>
  <si>
    <t>pacs.008.FIToFICstmrCdtTrf.ChrgsInf.Tp</t>
  </si>
  <si>
    <t>ChargePayment</t>
  </si>
  <si>
    <t xml:space="preserve">Additional Instructions relayed as part of a payment instruction for attention of agents. </t>
  </si>
  <si>
    <t>PaymentPartyRoleInstruction</t>
  </si>
  <si>
    <t>PaymentPartyRoleInstructionIdentifier</t>
  </si>
  <si>
    <t>InstructionCode</t>
  </si>
  <si>
    <t>InstructionInformation</t>
  </si>
  <si>
    <t>AssociatedPaymentPartyRole</t>
  </si>
  <si>
    <t>PaymentRegulatoryReporting</t>
  </si>
  <si>
    <t>Additional information associated with a Payment that relates to regulatory reporting</t>
  </si>
  <si>
    <t>PaymentRegulatoryReportingIdentifier</t>
  </si>
  <si>
    <t>PaymentTax</t>
  </si>
  <si>
    <t>Additional information associated with a Payment that relates to tax</t>
  </si>
  <si>
    <t>PaymentTaxIdentifier</t>
  </si>
  <si>
    <t>StructuredTaxData</t>
  </si>
  <si>
    <t>MessageAssociatedPayment</t>
  </si>
  <si>
    <t>RegReportingAssociatedPayment</t>
  </si>
  <si>
    <t>TaxAssociatedPayment</t>
  </si>
  <si>
    <t>_uniquetest</t>
  </si>
  <si>
    <t>PaymentRemittance</t>
  </si>
  <si>
    <t>Additional information associated with a Payment that relates to remittance content</t>
  </si>
  <si>
    <t>RemittanceInformationIdentifier</t>
  </si>
  <si>
    <t>StructuredRemittanceData</t>
  </si>
  <si>
    <t>RemittanceAssociatedPayment</t>
  </si>
  <si>
    <t>ExchangeRateType</t>
  </si>
  <si>
    <t>EquivalentAmount</t>
  </si>
  <si>
    <t>EquivalentAmountCurrency</t>
  </si>
  <si>
    <t>PaymentMandate</t>
  </si>
  <si>
    <t>PaymentMandateIdentifier</t>
  </si>
  <si>
    <t>PaymentStatus</t>
  </si>
  <si>
    <t>PaymentMethod</t>
  </si>
  <si>
    <t>pain.001.CstmrCdtTrfInitn.PmtInf.ReqdExctnDt</t>
  </si>
  <si>
    <t>RequestedExecutionDate</t>
  </si>
  <si>
    <t>DateTime</t>
  </si>
  <si>
    <t>DDSequenceTypeCode</t>
  </si>
  <si>
    <t>pain.008.CstmrDrctDbtInitn.PmtInf.DrctDbtTxInf.PmtTpInf.SeqTp</t>
  </si>
  <si>
    <t>MndtId</t>
  </si>
  <si>
    <t>DtOfSgntr</t>
  </si>
  <si>
    <t>DtOfVrfctn</t>
  </si>
  <si>
    <t>MandateIdentifier</t>
  </si>
  <si>
    <t>Mandate</t>
  </si>
  <si>
    <t>DDPreNtfctnId</t>
  </si>
  <si>
    <t>DDPreNtfctnDt</t>
  </si>
  <si>
    <t>pain.008.CstmrDrctDbtInitn.PmtInf.DrctDbtTxInf.DrctDbtTx.PreNtfctnDt</t>
  </si>
  <si>
    <t>pain.008.CstmrDrctDbtInitn.PmtInf.DrctDbtTxInf.DrctDbtTx.PreNtfctnId</t>
  </si>
  <si>
    <t>PaymentInstruction</t>
  </si>
  <si>
    <t>pain.008.CstmrDrctDbtInitn.PmtInf.CdtrSchmeId</t>
  </si>
  <si>
    <t>ReturnReason</t>
  </si>
  <si>
    <t>ReturnReasonInformation</t>
  </si>
  <si>
    <t>ReturnReasonIdentifier</t>
  </si>
  <si>
    <t>AdditionalInformation</t>
  </si>
  <si>
    <t>PaymentInstructionInternalIdentifier</t>
  </si>
  <si>
    <t>An identifier that is unique to this payment instruction.</t>
  </si>
  <si>
    <t>The identifier that links to the payment that this instruction references</t>
  </si>
  <si>
    <t>The payment that this instruction is associated with.</t>
  </si>
  <si>
    <t>InstructionPartOfGroup</t>
  </si>
  <si>
    <t>InstructionAssociatedPayment</t>
  </si>
  <si>
    <t>An identifier that is unique to this payment. &lt;would have to be internally generated by bank&gt;</t>
  </si>
  <si>
    <t>point to point reference that can be used between the
instructing party and the instructed party to refer to the individual instruction</t>
  </si>
  <si>
    <t>Unique identification assigned by the initiating party to unambiguously identify the
transaction. This identification is passed on, unchanged, throughout the entire end-to-end chain</t>
  </si>
  <si>
    <t>Universally unique identifier to provide an end-to-end reference of a payment transaction. Will be passed unchanged thoughout the entire end-to-end chain</t>
  </si>
  <si>
    <t>Unique identification, as assigned by the first instructing agent, to unambiguously identify the
transaction that is passed on, unchanged, throughout the entire interbank chain.
Usage: The transaction identification can be used for reconciliation, tracking or to link tasks relating to
the transaction on the interbank level</t>
  </si>
  <si>
    <t>Unique reference, as assigned by a clearing system, to unambiguously identify the
instruction</t>
  </si>
  <si>
    <t>A reference to the payment instruction group within which this payment was initiated. &lt;we will a Payment Instruction connected to a Payment. The Payment Instruction will be linked to a Payment Instruction group&gt;</t>
  </si>
  <si>
    <t>Specifies the means that will be used to move the amount of money. Possible values - TRF (Credit Transfer), CHK (Cheque), DD (Direct Debit)</t>
  </si>
  <si>
    <t>Indicator of the urgency or order of importance that the instructing party would like the
instructed party to apply to the processing of the instruction. HIGH/NORMAL
In pain messages, Danske only accept NORM. If HIGH code sent, its ignored &lt;could potentially be different in incoming &amp; in outgoing instruction&gt;</t>
  </si>
  <si>
    <t>Specifies the clearing channel to be used to process the payment instruction. Values - RTGS, BOOK,RTNS,MPNS</t>
  </si>
  <si>
    <t>Agreement under which or rules under which the transaction should be processed. E.g URGP ( urgent - processed as RTGS), SDVA ( Same day) etc</t>
  </si>
  <si>
    <t xml:space="preserve">local instrument, local clearing option and/or further qualify the service or service level. e.g INST - used for SEPA Instant </t>
  </si>
  <si>
    <t>Identifies the direct debit sequence, such as FRST( first), RCUR(recurrent), FNAL(final) , OOFF(one-off)</t>
  </si>
  <si>
    <t>high level purpose of the instruction. This is used by the 
initiating party to provide information concerning the 
processing of the payment. It is likely to trigger special 
processing by any of the agents involved in the 
payment chaine.g "SALA" salary payments,"PENS"-pension,"TAXS"-tax, "CONF" – Identifies  confidential payments etc</t>
  </si>
  <si>
    <t>Purpose is used by the end-customers, that is initiating party, (ultimate) debtor, (ultimate)
creditor to provide information concerning the nature of the payment. Purpose is a content element,
which is not used for processing by any of the agents involved in the payment chain. Conditional based on country rules; may also be bank determined</t>
  </si>
  <si>
    <t>Date at which the initiating party requests the clearing agent to process the payment.
This is the date on which the debtor's account is to be debited. If payment by cheque, the date
when the cheque must be generated by the bank</t>
  </si>
  <si>
    <t>Identifies whether a single entry per individual transaction or a batch entry for the sum of the
amounts of all transactions within the group of a message is requested</t>
  </si>
  <si>
    <t>Amount of money to be moved between the debtor and creditor, before deduction of
charges, expressed in the currency of transfer as ordered by the initiating party. E.g 100 USD ( the debtor account may be in different currency to USD though)</t>
  </si>
  <si>
    <t>Amount of money to be moved between the debtor and creditor, expressed in the currency of
the debtor's account, and the currency in which the amount is to be moved. E.g 100 DKK to be transferred in USD . DKK is debtor account currency and USD is transfer currency</t>
  </si>
  <si>
    <t>Currency of the EquivalentAmount e.g DKK</t>
  </si>
  <si>
    <t>Currency of the InstructedAmount.
If EquivalentAmount is provided instead, then this is the "Currency of Transfer"</t>
  </si>
  <si>
    <t>Currency in which the rate of exchange is expressed in a currency exchange. In the example
1GBP = xxxDKK, the unit currency is GBP</t>
  </si>
  <si>
    <t>The factor used for conversion of an amount 
from one currency to another</t>
  </si>
  <si>
    <t>ExchangerateUnitCurrency</t>
  </si>
  <si>
    <t>If Exchange Rate Type is AGRD, then Unique and unambiguous reference to the foreign exchange contract agreed between the initiating party/creditor and the debtor agent</t>
  </si>
  <si>
    <t>Type used to complete the currency exchange. SPOT, AGRD (agreed),SALE</t>
  </si>
  <si>
    <t>ExchangeRateContractIdentification</t>
  </si>
  <si>
    <t>Specifies which party/parties will bear the charges associated with the processing of the
payment transaction. 
CRED (Creditor) &lt;equivalent of BEN&gt;
DEBT (Debtor) &lt;equivalent of OUR&gt;
SHAR (Shared) &lt;equivalent of SHA&gt;</t>
  </si>
  <si>
    <t>information on the charges to be paid by the charge bearer(s) related to the payment transaction.</t>
  </si>
  <si>
    <t>Transaction charges to be paid by the charge bearer</t>
  </si>
  <si>
    <t>Currency of the ChargeAmount</t>
  </si>
  <si>
    <t>Agent that takes the transaction charges or to which the transaction charges are due</t>
  </si>
  <si>
    <t>type of charges. E.g COMM ( commission), CLEF ( Clearing Fee), CFEE (Cancellation fee) etc</t>
  </si>
  <si>
    <t>&lt;is this a dynamically created unique ID for the charge entity&gt;</t>
  </si>
  <si>
    <t>DDCreditorSchemeID</t>
  </si>
  <si>
    <t>Credit party that signs the mandate. E.g Utility company collecting the DD based on the mandate. This is the unique ID of the Utility company ) Creditor) within the specific DD payment scheme ( SEPA DD, UK BACS etc).
&lt;This is a Party , so should link to the PaymentParty object&gt;</t>
  </si>
  <si>
    <t>Unique and unambiguous identification of the pre-notification which is sent separately from
the direct debit instruction. The direct debit pre-notification is used to reconcile separately sent collection information with the direct debit transaction information</t>
  </si>
  <si>
    <t>Date on which the creditor notifies the debtor about the amount and date on which the direct
debit instruction will be presented to the debtor's agent</t>
  </si>
  <si>
    <t>For DD - Unique identification, as assigned by the creditor, to unambiguously identify the mandate</t>
  </si>
  <si>
    <t>Date on which the direct debit mandate has been signed by the debtor</t>
  </si>
  <si>
    <t>MndtCdtr</t>
  </si>
  <si>
    <t>MndtCdtrAgt</t>
  </si>
  <si>
    <t>creditor agent specified in the mandate</t>
  </si>
  <si>
    <t>MndtCdtrAgtAcct</t>
  </si>
  <si>
    <t>creditor agent account specified in the mandate</t>
  </si>
  <si>
    <t>MndtDbtr</t>
  </si>
  <si>
    <t>MndtDbtrAcct</t>
  </si>
  <si>
    <t>MndtDbtrAgt</t>
  </si>
  <si>
    <t>MndtDbtrAgtAcct</t>
  </si>
  <si>
    <t>debtor specified in the mandate</t>
  </si>
  <si>
    <t>debtor account specified in the mandate</t>
  </si>
  <si>
    <t>debtor agent specified in the mandate</t>
  </si>
  <si>
    <t>debtor agent account specified in the mandate</t>
  </si>
  <si>
    <t>creditor identification as specified in the DD scheme</t>
  </si>
  <si>
    <t>pain.008.CstmrDrctDbtInitn.PmtInf.DrctDbtTxInf.DrctDbtTx.MndtRltdInf.MndtId</t>
  </si>
  <si>
    <t>pain.008.CstmrDrctDbtInitn.PmtInf.DrctDbtTxInf.DrctDbtTx.CdtrSchmeId</t>
  </si>
  <si>
    <t>pain.008.CstmrDrctDbtInitn.PmtInf.DrctDbtTxInf.DrctDbtTx.MndtRltdInf.AmdmntInfDtls.OrgnlCdtrAgt</t>
  </si>
  <si>
    <t>pain.008.CstmrDrctDbtInitn.PmtInf.DrctDbtTxInf.DrctDbtTx.MndtRltdInf.AmdmntInfDtls.OrgnlCdtrAgtAcct</t>
  </si>
  <si>
    <t>pain.008.CstmrDrctDbtInitn.PmtInf.DrctDbtTxInf.DrctDbtTx.MndtRltdInf.AmdmntInfDtls.OrgnlDbtr</t>
  </si>
  <si>
    <t>pain.008.CstmrDrctDbtInitn.PmtInf.DrctDbtTxInf.DrctDbtTx.MndtRltdInf.AmdmntInfDtls.OrgnlDbtrAcct</t>
  </si>
  <si>
    <t>pain.008.CstmrDrctDbtInitn.PmtInf.DrctDbtTxInf.DrctDbtTx.MndtRltdInf.AmdmntInfDtls.OrgnlDbtrAgt</t>
  </si>
  <si>
    <t>pain.008.CstmrDrctDbtInitn.PmtInf.DrctDbtTxInf.DrctDbtTx.MndtRltdInf.AmdmntInfDtls.OrgnlDbtrAgtAcct</t>
  </si>
  <si>
    <t>MndtType</t>
  </si>
  <si>
    <t>type of mandate - direct debit, standing order etc
&lt;would have to be derived field from the Instruction &gt;</t>
  </si>
  <si>
    <t>pain.008.CstmrDrctDbtInitn.PmtInf.DrctDbtTxInf.DrctDbtTx.MndtRltdInf.DtOfSgntr</t>
  </si>
  <si>
    <t>MndtFinalPayDate</t>
  </si>
  <si>
    <t>Date of the final collection of a direct debit as per the mandate</t>
  </si>
  <si>
    <t>MndtFirstPayDate</t>
  </si>
  <si>
    <t>Date of the first collection of a direct debit as per the mandate</t>
  </si>
  <si>
    <t>pain.008.CstmrDrctDbtInitn.PmtInf.DrctDbtTxInf.DrctDbtTx.MndtRltdInf.AmdmntInfDtls.FrstColltnDt</t>
  </si>
  <si>
    <t>pain.008.CstmrDrctDbtInitn.PmtInf.DrctDbtTxInf.DrctDbtTx.MndtRltdInf.AmdmntInfDtls.FnlColltnDt</t>
  </si>
  <si>
    <t>MndtFrqcy</t>
  </si>
  <si>
    <t xml:space="preserve">pain.008.CstmrDrctDbtInitn.PmtInf.DrctDbtTxInf.DrctDbtTx.MndtRltdInf.Frqcy.Tp             OR
pain.008.CstmrDrctDbtInitn.PmtInf.DrctDbtTxInf.DrctDbtTx.MndtRltdInf.Frqcy.Prd.Tp      OR
pain.008.CstmrDrctDbtInitn.PmtInf.DrctDbtTxInf.DrctDbtTx.MndtRltdInf.Frqcy.PtInTm.Tp </t>
  </si>
  <si>
    <t>Reason for the direct debit mandate to allow the user to distinguish between different mandates for the same creditor</t>
  </si>
  <si>
    <t>pain.008.CstmrDrctDbtInitn.PmtInf.DrctDbtTxInf.DrctDbtTx.MndtRltdInf.Rsn.Cd   OR
pain.008.CstmrDrctDbtInitn.PmtInf.DrctDbtTxInf.DrctDbtTx.MndtRltdInf.Rsn.Prtry</t>
  </si>
  <si>
    <t>MndtRsn</t>
  </si>
  <si>
    <t>pain.008.CstmrDrctDbtInitn.PmtInf.DrctDbtTxInf.DrctDbtTx.MndtRltdInf.TrckgDays</t>
  </si>
  <si>
    <t>MndtTrckgDays</t>
  </si>
  <si>
    <t>Specifies the number of days the direct debit instruction must be tracked</t>
  </si>
  <si>
    <t>??&lt;field not found&gt;&gt;</t>
  </si>
  <si>
    <t>Regularity with which direct debit instructions are to be created and processed. &lt;Note - Lets just store "Type"&gt;</t>
  </si>
  <si>
    <t>InstrForDbtrAgt</t>
  </si>
  <si>
    <t>Further information related to the processing of the payment instruction, that may need to be acted upon by the debtor agent, depending on agreement between debtor and the debtor agent</t>
  </si>
  <si>
    <t>InstrForCdtrAgt</t>
  </si>
  <si>
    <t>InstrForNxtAgt</t>
  </si>
  <si>
    <t>Further information related to the processing of the payment instruction that may need to be acted upon by the next agent. 
This can have multiple occurances. Store only 1st.
Secondly it can have code + addl information. Store only Code value</t>
  </si>
  <si>
    <t>Further information related to the processing of the payment instruction, provided by the initiating party, and intended for the creditor agent. 
This can have multiple occurances. Store only 1st.
Secondly it can have code + addl information. Store only Code value</t>
  </si>
  <si>
    <t>pain.008.CstmrDrctDbtInitn.PmtInf.DrctDbtTxInf.InstrForCdtrAgt.Cd[1] OR
pacs.008.FIToFICstmrCdtTrf.CdtTrfTxInf.InstrForCdtrAgt.Cd[1]</t>
  </si>
  <si>
    <t>pain.008.CstmrDrctDbtInitn.PmtInf.DrctDbtTxInf.InstrForNxtAgt.Cd[1]
pacs.008.FIToFICstmrCdtTrf.CdtTrfTxInf.InstrForNxtAgt.Cd[1]</t>
  </si>
  <si>
    <t xml:space="preserve">pain.008.CstmrDrctDbtInitn.PmtInf.DrctDbtTxInf.InstrForDbtrAgt </t>
  </si>
  <si>
    <t>&lt;internally generated ID &gt;</t>
  </si>
  <si>
    <t>RegulatoryReportingDetailsCode</t>
  </si>
  <si>
    <t>RegulatoryReportingDetailsInf</t>
  </si>
  <si>
    <t>RegulatoryReportingAuthorityName</t>
  </si>
  <si>
    <t>Name of the entity requiring the regulatory reporting information.</t>
  </si>
  <si>
    <t>RegulatoryReportingAuthorityCountry</t>
  </si>
  <si>
    <t>Specifies the nature, purpose, and reason for the transaction to be reported for regulatory and statutory requirements in a coded form.
Danske requirement -
Sweden:Reporting to Skatteverket (Tax agency). 
For all transfers abroad from Sweden above SEK 150.000, or the equivalent, a report must be sent to Skatteverket, stating the purpose code.
Norway : For all transfers abroad from Norway above NOK 100.000, or the equivalent, a report must be sent to 
Valutaregisteret (Tax agency) , stating purpose of the payment (Information text) and a purpose code</t>
  </si>
  <si>
    <t>Country of the entity that requires the regulatory reporting information
As per Danske requirement, for payments above a certain value , when transferring money( above a certain value) abroad from accounts held in Sweden and 
Norway, Danske has to send report to respective countries tax agency. Main details are the Reg Reporting Purpose Code + Add Information text</t>
  </si>
  <si>
    <t>pain.001.CstmrCdtTrfInitn.PmtInf.CdtTrfTxInf.RgltryRptg.Authrty.Nm OR
pacs.008.FIToFICstmrDrctDbt.DrctDbtTxInf.RgltryRptg.Authrty.Nm</t>
  </si>
  <si>
    <t>pain.001.CstmrCdtTrfInitn.PmtInf.CdtTrfTxInf.RgltryRptg.Authrty.Ctry OR
pacs.008.FIToFICstmrDrctDbt.DrctDbtTxInf.RgltryRptg.Authrty.Ctry</t>
  </si>
  <si>
    <t>pain.001.CstmrCdtTrfInitn.PmtInf.CdtTrfTxInf.RgltryRptg.Dtls.Cd OR
pacs.008.FIToFICstmrDrctDbt.DrctDbtTxInf.RgltryRptg.Dtls.Cd</t>
  </si>
  <si>
    <t>pain.001.CstmrCdtTrfInitn.PmtInf.CdtTrfTxInf.RgltryRptg.Dtls.Inf OR
pacs.008.FIToFICstmrDrctDbt.DrctDbtTxInf.RgltryRptg.Dtls.Inf</t>
  </si>
  <si>
    <t>Additional details of the purpose of the payment</t>
  </si>
  <si>
    <t xml:space="preserve">To be discussed with Danske.
This information is only relevant between Debtor &amp; Creditor . Include only if there is a specific use case.
</t>
  </si>
  <si>
    <t>Specifies the status of a transaction, in a coded form.
Final status values -
RJCT - reject
Success status implementation in Dankse to be checked-
ACSC ( settlement complete)
ACSP ( sent to clearing, awaiting settlement)</t>
  </si>
  <si>
    <t>PaymentStatusReason</t>
  </si>
  <si>
    <t>PaymentStatusReasonInf</t>
  </si>
  <si>
    <t>pacs.002.FIToFIPmtStsRpt.TxInfAndSts.StsRsnInf.Rsn.Cd</t>
  </si>
  <si>
    <t>pacs.002.FIToFIPmtStsRpt.TxInfAndSts.StsRsnInf.AddtlInf</t>
  </si>
  <si>
    <t>pacs.002.FIToFIPmtStsRpt.TxInfAndSts.TxSts</t>
  </si>
  <si>
    <t>Reason for the status. Populated in case of RJCT with the rejection reason - normally as Code</t>
  </si>
  <si>
    <t>Further details on the status reason. This is 0..n. but we can capture only 1st occurrence</t>
  </si>
  <si>
    <t>method used to settle the credit transfer instruction.
CLRG - Clearing system, 
COVE - Cover method
INDA - Instructed Agent
INGA - Instructing Agent
&lt;for payments cleared within danske (On-us) or payments where Danske is final agent in the chain ( Creditor/DebtorAgent), then we may have to use a separate code indicating "Internal Book Transfer"</t>
  </si>
  <si>
    <t>SettlementClearingSystem</t>
  </si>
  <si>
    <t>Specification of a pre-agreed offering between clearing agents or the channel through which the payment instruction is processed.
E.g for SEPA CT - "ST2"
for CHAPS - "STG", for T2 - "TGT"</t>
  </si>
  <si>
    <t>Currency of the SettlementAmount</t>
  </si>
  <si>
    <t>Date of settlement (when the money is transferred between the agents)</t>
  </si>
  <si>
    <t>Indicator of the urgency or order of importance that the instructing party would like the instructed party to apply to the processing of the settlement instruction.
Values HIGH, NORMAL, URGENT</t>
  </si>
  <si>
    <t>Date and time at which a payment has been debited at the clearing agent</t>
  </si>
  <si>
    <t>Date and time at which a payment has been credited at the clearing agent</t>
  </si>
  <si>
    <t>Specifically used in Instant Payments. Indicates the exact time at which the Originator PSP(e.g DebtorAgent has accepted the instant credit transfer instruction from the Originator(Debtor). This is passed onto the clearing system &amp; for Instant payment systems this value is used to check against the SLA for completing the payment</t>
  </si>
  <si>
    <t>Amount of money moved between the instructing agent and the instructed agent.
&lt;For Onus payments, this is the amount of money moved between debtor &amp; credtior within the bank&gt;</t>
  </si>
  <si>
    <t>&lt;This field is not required. Already covered by InstructedAmount&gt;</t>
  </si>
  <si>
    <t>InstructingParty</t>
  </si>
  <si>
    <t>ForwardingParty</t>
  </si>
  <si>
    <t>pain.001, pain.008</t>
  </si>
  <si>
    <t>DebtorAccount</t>
  </si>
  <si>
    <t>CreditorAccount</t>
  </si>
  <si>
    <t>PreviousInstructingAgent1</t>
  </si>
  <si>
    <t>PreviousInstructingAgent2</t>
  </si>
  <si>
    <t>PreviousInstructingAgent3</t>
  </si>
  <si>
    <t>IntermediaryAgent1</t>
  </si>
  <si>
    <t>IntermediaryAgent2</t>
  </si>
  <si>
    <t>IntermediaryAgent3</t>
  </si>
  <si>
    <t>ChargesAgent</t>
  </si>
  <si>
    <t>InstructingReimbursementAgent</t>
  </si>
  <si>
    <t>InstructedReimbursementAgent</t>
  </si>
  <si>
    <t>ThirdReimbursementAgent</t>
  </si>
  <si>
    <t>pacs.008 advice, pacs.009 advice</t>
  </si>
  <si>
    <t>PaymentInstruction (Initiation)</t>
  </si>
  <si>
    <t>PaymentInstruction(Clearing)</t>
  </si>
  <si>
    <t>PaymentInstruction (Initiation), 
PaymentInstruction(Clearing)</t>
  </si>
  <si>
    <t>pain &amp; pacs</t>
  </si>
  <si>
    <t>pacs</t>
  </si>
  <si>
    <t>CreditorAgentAccount</t>
  </si>
  <si>
    <t>DebtorAgentAccount</t>
  </si>
  <si>
    <t>PreviousInstructingAgent1Account</t>
  </si>
  <si>
    <t>PreviousInstructingAgent2Account</t>
  </si>
  <si>
    <t>PreviousInstructingAgent3Account</t>
  </si>
  <si>
    <t>IntermediaryAgent1Account</t>
  </si>
  <si>
    <t>IntermediaryAgent2Account</t>
  </si>
  <si>
    <t>IntermediaryAgent3Account</t>
  </si>
  <si>
    <t>ChargesAgentAccount</t>
  </si>
  <si>
    <t>InstructingReimbursementAgentAccount</t>
  </si>
  <si>
    <t>InstructedReimbursementAgentAccount</t>
  </si>
  <si>
    <t>ThirdReimbursementAgentAccount</t>
  </si>
  <si>
    <t>Reason for the return</t>
  </si>
  <si>
    <t>Further details on the return reason</t>
  </si>
  <si>
    <t>pacs.004.PmtRtr.TxInf.RtrRsnInf.AddtlInf</t>
  </si>
  <si>
    <t>pacs.004.PmtRtr.TxInf.RtrRsnInf.Rsn.Cd</t>
  </si>
  <si>
    <t>Provides detailed information on the return reason</t>
  </si>
  <si>
    <t>Originator Party of the return</t>
  </si>
  <si>
    <t>ReturnPaymentIdentification</t>
  </si>
  <si>
    <t>Unique identification, as assigned by an instructing party for an instructed party, to unambiguously identify the returned transaction</t>
  </si>
  <si>
    <t>Identification of a division of a large organisation or building</t>
  </si>
  <si>
    <t>PstlAdr.Dept</t>
  </si>
  <si>
    <t>Identification of a sub-division of a large organisation or building</t>
  </si>
  <si>
    <t>PstlAdr.SubDept</t>
  </si>
  <si>
    <t>Number that identifies the position of a building on a street.</t>
  </si>
  <si>
    <t>Name of the building or house.</t>
  </si>
  <si>
    <t>Name of a street or thoroughfare.</t>
  </si>
  <si>
    <t>Floor or storey within a building.</t>
  </si>
  <si>
    <t>Numbered box in a post office, assigned to a person or organisation, where letters are kept until called for.</t>
  </si>
  <si>
    <t>Building room number.</t>
  </si>
  <si>
    <t>Identifier consisting of a group of letters and/or numbers that is added to a postal address to assist the sorting of mail.</t>
  </si>
  <si>
    <t>Name of a built-up area, with defined boundaries, and a local government.</t>
  </si>
  <si>
    <t>Specific location name within the town.</t>
  </si>
  <si>
    <t>Identifies a subdivision within a country sub-division.</t>
  </si>
  <si>
    <t>Identifies a subdivision of a country such as state, region, county.</t>
  </si>
  <si>
    <t>Nation with its own government.</t>
  </si>
  <si>
    <t>Address Line in free text format</t>
  </si>
  <si>
    <t>Identifies an addressee that is accepting the correspondence for the intended recipient</t>
  </si>
  <si>
    <t>Identifies a flat or dwelling within the building.</t>
  </si>
  <si>
    <t>Identifies the nature of the postal address.
ADDR - Postal Address
PBOX - PO Box
BIZZ - Business etc</t>
  </si>
  <si>
    <t>Date on which a person is born</t>
  </si>
  <si>
    <t>Date</t>
  </si>
  <si>
    <t>Province where a person was born.</t>
  </si>
  <si>
    <t>City where a person was born.</t>
  </si>
  <si>
    <t>Country where a person was born.</t>
  </si>
  <si>
    <t>Business identification code of the organisation</t>
  </si>
  <si>
    <t>OrgBIC</t>
  </si>
  <si>
    <t>Legal entity identification as an alternate identification for a party.</t>
  </si>
  <si>
    <t>Id.OrgId.AnyBIC</t>
  </si>
  <si>
    <t>Type of the proxy identification</t>
  </si>
  <si>
    <t>Identification used to indicate the account identification under another specified name</t>
  </si>
  <si>
    <t>Name of the account, as assigned by the account servicing institution, in agreement with the account owner in order to provide an additional means of identification of the account</t>
  </si>
  <si>
    <t>currency in which the account is held</t>
  </si>
  <si>
    <t>Specifies the nature, or use of the account.</t>
  </si>
  <si>
    <t>Identification of the account in IBAN format</t>
  </si>
  <si>
    <t>AccountOtherIdentification</t>
  </si>
  <si>
    <t>Unique identification of an account, as assigned by the account servicer, using an identification scheme</t>
  </si>
  <si>
    <t>AccountOtherIdentificationSchemeName</t>
  </si>
  <si>
    <t>AccountIdentificationIBAN</t>
  </si>
  <si>
    <t>AccountOtherIdentificationIssuer</t>
  </si>
  <si>
    <t>MessageCreationDateTime</t>
  </si>
  <si>
    <t>Point to point reference, as assigned by the instructing party, and sent to the next party in the chain to unambiguously identify the message.
Usage: The instructing party has to make sure that MessageIdentification is unique per instructed party for a pre-agreed period</t>
  </si>
  <si>
    <t>information on the requested settlement time(s) of the payment instruction
&lt;Can have multiple rows - From Time, Till Time, Reject Time etc. 
Suggestion - Remove this attribute from the Payment Entity as the "SettlementTimeRequest" isnt significant for Danske PDP&gt;</t>
  </si>
  <si>
    <t>Date used for the correction of the value date of a cash pool movement that has been posted with a different value date.
&lt;Though present in ISO20022, this field isnt used in Swift correspondent banking + most known clearing systems&gt;</t>
  </si>
  <si>
    <t>Internally generated Mandate ID (??)</t>
  </si>
  <si>
    <t>Requires Fix/Rework after updates w/c 21/02/2024</t>
  </si>
  <si>
    <t>OK</t>
  </si>
  <si>
    <t>It's just a date field</t>
  </si>
  <si>
    <t>Amount</t>
  </si>
  <si>
    <t>Not an identifier</t>
  </si>
  <si>
    <t>Moved position</t>
  </si>
  <si>
    <t>Needs review</t>
  </si>
  <si>
    <t>Needs to be deleted, covered under separate entitiy - PaymentPartyRoleInstruction</t>
  </si>
  <si>
    <t>UniqueInternalPaymentInstructionIdentifier</t>
  </si>
  <si>
    <t>It's a date, not a datetime</t>
  </si>
  <si>
    <t>String not Identifier</t>
  </si>
  <si>
    <t>String</t>
  </si>
  <si>
    <t>Currency</t>
  </si>
  <si>
    <t>Boolean</t>
  </si>
  <si>
    <t>Decimal</t>
  </si>
  <si>
    <t>It'sjust the date</t>
  </si>
  <si>
    <t>Integer</t>
  </si>
  <si>
    <t>The identifier of the payment instruction (pacs004) from which this ReturnReason was sourced</t>
  </si>
  <si>
    <t>"Identifier" doesn't mean that. This is a string</t>
  </si>
  <si>
    <t>Link to the "PaymentInstruction" entity</t>
  </si>
  <si>
    <t>AssociatedPaymentInstruction</t>
  </si>
  <si>
    <t>Identifying information assocaited to an account</t>
  </si>
  <si>
    <t>The party who owns this account, to whom the moneys and liabilities are due</t>
  </si>
  <si>
    <t>The party who services this account on behalf of the Account Holder</t>
  </si>
  <si>
    <t>Need to flatten this down to ID, Scheme and Issuer to normalise IBAN and other forms of account Id</t>
  </si>
  <si>
    <t>This isn't an identifier, it's a Type</t>
  </si>
  <si>
    <t>MessageDefinitionISOClass</t>
  </si>
  <si>
    <t>ISO Class defining the message.
E.g pain.001.001.003, pacs.001.001.008</t>
  </si>
  <si>
    <t>PaymenInstructiontPaymentMessage</t>
  </si>
  <si>
    <t>UniquePIPMID</t>
  </si>
  <si>
    <t>MandateAssociatedPayment</t>
  </si>
  <si>
    <t>Delete</t>
  </si>
  <si>
    <t>Review PaymentInstructionPartyRole - connect as a role-description</t>
  </si>
  <si>
    <t>Needs review - if it's a party, then why is it listed in the PaymentInstruction entity? Move to PaymentPartyRole</t>
  </si>
  <si>
    <t>CreditorScheme</t>
  </si>
  <si>
    <t>Account Holder</t>
  </si>
  <si>
    <t>MandateCreditor</t>
  </si>
  <si>
    <t>MandateCreditorsAgent</t>
  </si>
  <si>
    <t>MandateCreditorsAgentAccount</t>
  </si>
  <si>
    <t>MandateDebtor</t>
  </si>
  <si>
    <t>MandateDebtorsAccount</t>
  </si>
  <si>
    <t>MandateDebtorAgent</t>
  </si>
  <si>
    <t>MandateDebtorsAgentAccount</t>
  </si>
  <si>
    <t>DebtorAgent or Final IntermediaryAgent</t>
  </si>
  <si>
    <t>&gt;</t>
  </si>
  <si>
    <t>&lt;</t>
  </si>
  <si>
    <t>Processing Bank or PreviousInstructingAgent2</t>
  </si>
  <si>
    <t>Processing Bank or PreviousInstructingAgent3</t>
  </si>
  <si>
    <t>Processing Bank</t>
  </si>
  <si>
    <t>CreditorAgent or IntermediaryAgent2</t>
  </si>
  <si>
    <t>CreditorAgent or IntermediaryAgent3</t>
  </si>
  <si>
    <t>Cover</t>
  </si>
  <si>
    <t>CreditorAgent or Initial Itermediary Agent or InstructingReimbursementAgent</t>
  </si>
  <si>
    <t>ThirdReimbursementAgent or CreditorAgent</t>
  </si>
  <si>
    <t>DebtorAgent or ChargesAgent</t>
  </si>
  <si>
    <t>Party Isn't a DataType - move to payment(instruction)partyrole - also, note that this information relates to an Ammendment of the Mandate, and not the mandate itself</t>
  </si>
  <si>
    <t>Party Isn't a DataType - move to payment(instruction)partyroleaccount - this is amendment detail !</t>
  </si>
  <si>
    <t>ChargeAgent</t>
  </si>
  <si>
    <t>Link to the "PaymenInstructiont" entity</t>
  </si>
  <si>
    <t>ReturnReasonInstruction</t>
  </si>
  <si>
    <t>ReturningParty</t>
  </si>
  <si>
    <t>Change to association table</t>
  </si>
  <si>
    <t>delete</t>
  </si>
  <si>
    <t>Association Table between PaymentInstruction and PaymentMessage</t>
  </si>
  <si>
    <t>Role</t>
  </si>
  <si>
    <t>Optional Associated Account</t>
  </si>
  <si>
    <t>Dir</t>
  </si>
  <si>
    <t>PaymentPaymentInstructionGroup</t>
  </si>
  <si>
    <t>PaymentToPaymentInstructionGroupIdentifier</t>
  </si>
  <si>
    <t>Association Table between Payment and PaymentInstructionGroup</t>
  </si>
  <si>
    <t>The unique association identifier between PaymentInstructionGroup and Payment</t>
  </si>
  <si>
    <t>The associated PaymentInstructionGroup</t>
  </si>
  <si>
    <t>The associated Payment</t>
  </si>
  <si>
    <t>AssociatedPaymentInstructionGroup</t>
  </si>
  <si>
    <t>PaymentIdentificationIdentifier</t>
  </si>
  <si>
    <t>The value of the identifying reference</t>
  </si>
  <si>
    <t>The payment to which this reference has been attributed</t>
  </si>
  <si>
    <t>IdentifyingReferenceValue</t>
  </si>
  <si>
    <t>IdentifyingReferenceType</t>
  </si>
  <si>
    <t>The type of reference this identifier follows</t>
  </si>
  <si>
    <t>AttributedToPayment</t>
  </si>
  <si>
    <t>CashEntryIdentifier</t>
  </si>
  <si>
    <t>DebitCreditMarker</t>
  </si>
  <si>
    <t>BookingSystem</t>
  </si>
  <si>
    <t>BookingReference</t>
  </si>
  <si>
    <t>CashAccountIdentifier</t>
  </si>
  <si>
    <t>CashAccount</t>
  </si>
  <si>
    <t>A cash account is a record of transactions in specific types of assets, maintained for the purpose of tracking bookings. Some cash accounts will have external Owners or Holders while other accounts can be regarded as Internal accounts for categorisation of balances and funds.</t>
  </si>
  <si>
    <t>AccountNumber</t>
  </si>
  <si>
    <t>ClientIdentifier</t>
  </si>
  <si>
    <t>BookingDate</t>
  </si>
  <si>
    <t>Internal unique key of the cash entry.</t>
  </si>
  <si>
    <t>Signifier that the entry is a credit or debit entry on the account.</t>
  </si>
  <si>
    <t>Amount of funds posted by the entry</t>
  </si>
  <si>
    <t>System code describing the system that made the booking</t>
  </si>
  <si>
    <t>The date on which the booking was posted</t>
  </si>
  <si>
    <t>Unique internal identifier for the cash account</t>
  </si>
  <si>
    <t>Outwardly facing identifier for the account</t>
  </si>
  <si>
    <t>The currency of the account.</t>
  </si>
  <si>
    <t>Booking</t>
  </si>
  <si>
    <t>An entity describing a group of offsetting CashEntries</t>
  </si>
  <si>
    <t>BookingIdentifier</t>
  </si>
  <si>
    <t>Internal unique key for the booking (linking CR and DR entries posted offsetting one another)</t>
  </si>
  <si>
    <t>EntryReference</t>
  </si>
  <si>
    <t>A reference by which the entry can be determined</t>
  </si>
  <si>
    <t>The base currency of the booking</t>
  </si>
  <si>
    <t>For cross-currency bookings (?) reference to the exchange currency</t>
  </si>
  <si>
    <t>For cross-currency bookings (?) reference to the exchange currency rate</t>
  </si>
  <si>
    <t>Currency describing the amount of the cash entry.</t>
  </si>
  <si>
    <t>Internal unique key for the booking (linking CR and DR entries posted offsetting one another) enabling a Cash Entry to be identified with its offset(s).</t>
  </si>
  <si>
    <t>EntryDate</t>
  </si>
  <si>
    <t>The date on which the entry was posted</t>
  </si>
  <si>
    <t>EntrySystem</t>
  </si>
  <si>
    <t>System code describing the system that posted the entry</t>
  </si>
  <si>
    <t>A reference by which the booking can be identified</t>
  </si>
  <si>
    <t xml:space="preserve">An identifier that references a unique payment transaction recorded by the bank linking this booking to a specific payment transaction. </t>
  </si>
  <si>
    <t>ExchangeRateDate</t>
  </si>
  <si>
    <t>The date on which the exchange rate was fixed.</t>
  </si>
  <si>
    <t>PartyIdentifier</t>
  </si>
  <si>
    <t>CashAccountClientRole</t>
  </si>
  <si>
    <t>CashAccountRole</t>
  </si>
  <si>
    <t xml:space="preserve">Unique internal identifier for a client with an association with the account. </t>
  </si>
  <si>
    <t>An appropriate Cash Account role to associate the Client with this Cash Account</t>
  </si>
  <si>
    <t>Association table linking Clients to Cash Accounts via one or more Roles</t>
  </si>
  <si>
    <t>A fixed set of roles that can be played by parties relating to an externally referenced Account.</t>
  </si>
  <si>
    <t>Client</t>
  </si>
  <si>
    <t>A party with whom the bank has a direct accounting relationship.</t>
  </si>
  <si>
    <t>PartyPartyIdent</t>
  </si>
  <si>
    <t>An association table between Party and instances of a Party's identification identified in messaging</t>
  </si>
  <si>
    <t>LinkedClient</t>
  </si>
  <si>
    <t>LinkedParty</t>
  </si>
  <si>
    <t>ClientParty</t>
  </si>
  <si>
    <t>PartyIdentificationInstance</t>
  </si>
  <si>
    <t>ClientPartyIdentifier</t>
  </si>
  <si>
    <t>Float</t>
  </si>
  <si>
    <t>CashAccountRoleIdentifier</t>
  </si>
  <si>
    <t>ParentGroup</t>
  </si>
  <si>
    <t>LinkedPayment</t>
  </si>
  <si>
    <t>EntryAccount</t>
  </si>
  <si>
    <t>EntryBooking</t>
  </si>
  <si>
    <t>PaymentDate</t>
  </si>
  <si>
    <t>Date of settlement (when the money is transferred between accounts)</t>
  </si>
  <si>
    <t>ImmediateDebtorClientId</t>
  </si>
  <si>
    <t>ImmediateDebtorCashAccountId</t>
  </si>
  <si>
    <t>ImmediateCreditorClientId</t>
  </si>
  <si>
    <t>ImmediateCreditorCashAccountId</t>
  </si>
  <si>
    <t>An identifier referencing an associated PaymentInstructionGroup, linking the booking to a group of payments.</t>
  </si>
  <si>
    <t>LinkedGroup</t>
  </si>
  <si>
    <t>DataTypes</t>
  </si>
  <si>
    <t>Data Type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</si>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</sst>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charset val="1"/>
    </font>
    <font>
      <b/>
      <sz val="12"/>
      <color rgb="FFFFFFFF"/>
      <name val="Arial"/>
      <family val="2"/>
      <charset val="1"/>
    </font>
    <font>
      <sz val="12"/>
      <name val="Arial"/>
      <family val="2"/>
      <charset val="1"/>
    </font>
    <font>
      <sz val="8"/>
      <name val="Arial"/>
      <family val="2"/>
      <charset val="1"/>
    </font>
    <font>
      <b/>
      <sz val="10"/>
      <name val="Arial"/>
      <family val="2"/>
    </font>
    <font>
      <sz val="10"/>
      <name val="Arial"/>
      <family val="2"/>
    </font>
    <font>
      <sz val="10"/>
      <name val="Aptos Display"/>
      <family val="2"/>
    </font>
    <font>
      <strike/>
      <sz val="10"/>
      <name val="Aptos Display"/>
      <family val="2"/>
    </font>
    <font>
      <strike/>
      <sz val="10"/>
      <name val="Arial"/>
      <family val="2"/>
    </font>
    <font>
      <b/>
      <sz val="10"/>
      <color theme="0"/>
      <name val="Arial"/>
      <family val="2"/>
    </font>
  </fonts>
  <fills count="15">
    <fill>
      <patternFill patternType="none"/>
    </fill>
    <fill>
      <patternFill patternType="gray125"/>
    </fill>
    <fill>
      <patternFill patternType="solid">
        <fgColor rgb="FF418AFF"/>
        <bgColor rgb="FF3465A4"/>
      </patternFill>
    </fill>
    <fill>
      <patternFill patternType="solid">
        <fgColor rgb="FFA23EFF"/>
        <bgColor rgb="FFD83DFF"/>
      </patternFill>
    </fill>
    <fill>
      <patternFill patternType="solid">
        <fgColor rgb="FFD83DFF"/>
        <bgColor rgb="FFA23EFF"/>
      </patternFill>
    </fill>
    <fill>
      <patternFill patternType="solid">
        <fgColor rgb="FFFF79FC"/>
        <bgColor rgb="FFCC99FF"/>
      </patternFill>
    </fill>
    <fill>
      <patternFill patternType="solid">
        <fgColor rgb="FFFF0000"/>
        <bgColor rgb="FF993300"/>
      </patternFill>
    </fill>
    <fill>
      <patternFill patternType="solid">
        <fgColor rgb="FFFF8000"/>
        <bgColor rgb="FFFF6600"/>
      </patternFill>
    </fill>
    <fill>
      <patternFill patternType="solid">
        <fgColor rgb="FFFFBF00"/>
        <bgColor rgb="FFFF8000"/>
      </patternFill>
    </fill>
    <fill>
      <patternFill patternType="solid">
        <fgColor rgb="FF808080"/>
        <bgColor rgb="FF969696"/>
      </patternFill>
    </fill>
    <fill>
      <patternFill patternType="solid">
        <fgColor rgb="FF3465A4"/>
        <bgColor rgb="FF0066CC"/>
      </patternFill>
    </fill>
    <fill>
      <patternFill patternType="solid">
        <fgColor theme="6"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2" borderId="0" xfId="0" applyFont="1" applyFill="1"/>
    <xf numFmtId="0" fontId="1" fillId="5" borderId="0" xfId="0" applyFont="1" applyFill="1"/>
    <xf numFmtId="0" fontId="1" fillId="6" borderId="0" xfId="0" applyFont="1" applyFill="1"/>
    <xf numFmtId="0" fontId="1" fillId="7" borderId="0" xfId="0" applyFont="1" applyFill="1"/>
    <xf numFmtId="0" fontId="2" fillId="0" borderId="0" xfId="0" applyFont="1"/>
    <xf numFmtId="0" fontId="1" fillId="9" borderId="0" xfId="0" applyFont="1" applyFill="1"/>
    <xf numFmtId="0" fontId="1" fillId="10" borderId="0" xfId="0" applyFont="1" applyFill="1"/>
    <xf numFmtId="0" fontId="0" fillId="0" borderId="1" xfId="0" applyBorder="1"/>
    <xf numFmtId="0" fontId="0" fillId="0" borderId="1" xfId="0" applyBorder="1" applyAlignment="1">
      <alignment wrapText="1"/>
    </xf>
    <xf numFmtId="0" fontId="0" fillId="0" borderId="0" xfId="0" applyAlignment="1">
      <alignment wrapText="1"/>
    </xf>
    <xf numFmtId="0" fontId="4" fillId="11" borderId="0" xfId="0" applyFont="1" applyFill="1"/>
    <xf numFmtId="0" fontId="0" fillId="11" borderId="0" xfId="0" applyFill="1"/>
    <xf numFmtId="0" fontId="6" fillId="0" borderId="0" xfId="0" applyFont="1"/>
    <xf numFmtId="0" fontId="7" fillId="0" borderId="0" xfId="0" applyFont="1"/>
    <xf numFmtId="0" fontId="7" fillId="12" borderId="1" xfId="0" applyFont="1" applyFill="1" applyBorder="1"/>
    <xf numFmtId="0" fontId="5" fillId="13" borderId="1" xfId="0" applyFont="1" applyFill="1" applyBorder="1"/>
    <xf numFmtId="0" fontId="5" fillId="13" borderId="1" xfId="0" applyFont="1" applyFill="1" applyBorder="1" applyAlignment="1">
      <alignment wrapText="1"/>
    </xf>
    <xf numFmtId="0" fontId="8" fillId="13" borderId="1" xfId="0" applyFont="1" applyFill="1" applyBorder="1"/>
    <xf numFmtId="0" fontId="8" fillId="13" borderId="1" xfId="0" applyFont="1" applyFill="1" applyBorder="1" applyAlignment="1">
      <alignment wrapText="1"/>
    </xf>
    <xf numFmtId="0" fontId="4" fillId="2" borderId="1" xfId="0" applyFont="1" applyFill="1" applyBorder="1"/>
    <xf numFmtId="0" fontId="4" fillId="2" borderId="1" xfId="0" applyFont="1" applyFill="1" applyBorder="1" applyAlignment="1">
      <alignment wrapText="1"/>
    </xf>
    <xf numFmtId="0" fontId="4" fillId="3" borderId="1" xfId="0" applyFont="1" applyFill="1" applyBorder="1"/>
    <xf numFmtId="0" fontId="4" fillId="3" borderId="1" xfId="0" applyFont="1" applyFill="1" applyBorder="1" applyAlignment="1">
      <alignment wrapText="1"/>
    </xf>
    <xf numFmtId="0" fontId="4" fillId="4" borderId="1" xfId="0" applyFont="1" applyFill="1" applyBorder="1"/>
    <xf numFmtId="0" fontId="4" fillId="5" borderId="1" xfId="0" applyFont="1" applyFill="1" applyBorder="1"/>
    <xf numFmtId="0" fontId="4" fillId="6" borderId="1" xfId="0" applyFont="1" applyFill="1" applyBorder="1"/>
    <xf numFmtId="0" fontId="4" fillId="6" borderId="1" xfId="0" applyFont="1" applyFill="1" applyBorder="1" applyAlignment="1">
      <alignment wrapText="1"/>
    </xf>
    <xf numFmtId="0" fontId="4" fillId="7" borderId="1" xfId="0" applyFont="1" applyFill="1" applyBorder="1"/>
    <xf numFmtId="0" fontId="4" fillId="7" borderId="1" xfId="0" applyFont="1" applyFill="1" applyBorder="1" applyAlignment="1">
      <alignment wrapText="1"/>
    </xf>
    <xf numFmtId="0" fontId="4" fillId="8" borderId="1" xfId="0" applyFont="1" applyFill="1" applyBorder="1"/>
    <xf numFmtId="0" fontId="4" fillId="8" borderId="1" xfId="0" applyFont="1" applyFill="1" applyBorder="1" applyAlignment="1">
      <alignment wrapText="1"/>
    </xf>
    <xf numFmtId="0" fontId="5" fillId="0" borderId="1" xfId="0" applyFont="1" applyBorder="1"/>
    <xf numFmtId="0" fontId="0" fillId="0" borderId="0" xfId="0" applyAlignment="1">
      <alignment horizontal="center"/>
    </xf>
    <xf numFmtId="0" fontId="7" fillId="0" borderId="0" xfId="0" applyFont="1" applyAlignment="1">
      <alignment horizontal="center"/>
    </xf>
    <xf numFmtId="0" fontId="9" fillId="14"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D83DFF"/>
      <rgbColor rgb="FF00FFFF"/>
      <rgbColor rgb="FF800000"/>
      <rgbColor rgb="FF008000"/>
      <rgbColor rgb="FF000080"/>
      <rgbColor rgb="FF808000"/>
      <rgbColor rgb="FF800080"/>
      <rgbColor rgb="FF008080"/>
      <rgbColor rgb="FFC0C0C0"/>
      <rgbColor rgb="FF808080"/>
      <rgbColor rgb="FF9999FF"/>
      <rgbColor rgb="FFA23EFF"/>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79FC"/>
      <rgbColor rgb="FFCC99FF"/>
      <rgbColor rgb="FFFFCC99"/>
      <rgbColor rgb="FF418AFF"/>
      <rgbColor rgb="FF33CCCC"/>
      <rgbColor rgb="FF99CC00"/>
      <rgbColor rgb="FFFFBF00"/>
      <rgbColor rgb="FFFF8000"/>
      <rgbColor rgb="FFFF6600"/>
      <rgbColor rgb="FF3465A4"/>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50"/>
  <sheetViews>
    <sheetView tabSelected="1" topLeftCell="P1" zoomScale="115" zoomScaleNormal="115" workbookViewId="0">
      <pane ySplit="1" topLeftCell="A10" activePane="bottomLeft" state="frozen"/>
      <selection pane="bottomLeft" activeCell="S19" sqref="S19"/>
    </sheetView>
  </sheetViews>
  <sheetFormatPr defaultColWidth="11.81640625" defaultRowHeight="24" customHeight="1" x14ac:dyDescent="0.25"/>
  <cols>
    <col min="1" max="1" width="19.81640625" style="8" customWidth="1"/>
    <col min="2" max="2" width="19.90625" style="8" customWidth="1"/>
    <col min="3" max="3" width="58.6328125" style="9" customWidth="1"/>
    <col min="4" max="4" width="9.81640625" style="8" customWidth="1"/>
    <col min="5" max="5" width="15.6328125" style="8" customWidth="1"/>
    <col min="6" max="6" width="86.81640625" style="9" bestFit="1" customWidth="1"/>
    <col min="7" max="7" width="17.1796875" style="8" customWidth="1"/>
    <col min="8" max="8" width="15.90625" style="8" customWidth="1"/>
    <col min="9" max="9" width="21.81640625" style="8" customWidth="1"/>
    <col min="10" max="10" width="28.08984375" style="8" customWidth="1"/>
    <col min="11" max="11" width="21.1796875" style="8" customWidth="1"/>
    <col min="12" max="12" width="27" style="8" customWidth="1"/>
    <col min="13" max="13" width="33.36328125" style="8" customWidth="1"/>
    <col min="14" max="14" width="7.90625" style="8" customWidth="1"/>
    <col min="15" max="16" width="20.1796875" style="8" customWidth="1"/>
    <col min="17" max="17" width="13" style="8" customWidth="1"/>
    <col min="18" max="18" width="31" style="8" customWidth="1"/>
    <col min="19" max="19" width="32.1796875" style="8" customWidth="1"/>
    <col min="20" max="20" width="30.08984375" style="9" customWidth="1"/>
    <col min="21" max="21" width="28.453125" style="8" customWidth="1"/>
    <col min="22" max="22" width="28.08984375" style="9" customWidth="1"/>
    <col min="23" max="23" width="30.08984375" style="9" customWidth="1"/>
    <col min="24" max="24" width="6.6328125" style="8" customWidth="1"/>
    <col min="25" max="25" width="9.54296875" style="8" customWidth="1"/>
    <col min="26" max="26" width="12.1796875" style="8" customWidth="1"/>
    <col min="27" max="27" width="15.90625" style="8" customWidth="1"/>
    <col min="28" max="28" width="7.54296875" style="8" customWidth="1"/>
    <col min="29" max="29" width="7.453125" style="8" customWidth="1"/>
    <col min="30" max="30" width="14.81640625" style="8" customWidth="1"/>
    <col min="31" max="31" width="23.08984375" style="8" customWidth="1"/>
    <col min="32" max="32" width="13.90625" style="8" customWidth="1"/>
    <col min="33" max="33" width="20.1796875" style="8" customWidth="1"/>
    <col min="34" max="34" width="31.08984375" style="9" customWidth="1"/>
    <col min="35" max="36" width="19.6328125" style="8" customWidth="1"/>
    <col min="37" max="37" width="37.81640625" style="8" customWidth="1"/>
    <col min="38" max="38" width="27.453125" style="8" customWidth="1"/>
    <col min="39" max="39" width="17.36328125" style="8" customWidth="1"/>
    <col min="40" max="40" width="18.08984375" style="8" customWidth="1"/>
    <col min="41" max="41" width="21.08984375" style="8" customWidth="1"/>
    <col min="42" max="42" width="30.08984375" style="8" customWidth="1"/>
    <col min="43" max="43" width="19.453125" style="8" customWidth="1"/>
    <col min="44" max="16384" width="11.81640625" style="8"/>
  </cols>
  <sheetData>
    <row r="1" spans="1:43" s="32" customFormat="1" ht="24" customHeight="1" x14ac:dyDescent="0.3">
      <c r="A1" s="20" t="s">
        <v>0</v>
      </c>
      <c r="B1" s="20" t="s">
        <v>1</v>
      </c>
      <c r="C1" s="21" t="s">
        <v>2</v>
      </c>
      <c r="D1" s="22" t="s">
        <v>3</v>
      </c>
      <c r="E1" s="22" t="s">
        <v>4</v>
      </c>
      <c r="F1" s="23" t="s">
        <v>5</v>
      </c>
      <c r="G1" s="22" t="s">
        <v>6</v>
      </c>
      <c r="H1" s="24" t="s">
        <v>7</v>
      </c>
      <c r="I1" s="24" t="s">
        <v>8</v>
      </c>
      <c r="J1" s="24" t="s">
        <v>9</v>
      </c>
      <c r="K1" s="22" t="s">
        <v>10</v>
      </c>
      <c r="L1" s="22" t="s">
        <v>11</v>
      </c>
      <c r="M1" s="22" t="s">
        <v>12</v>
      </c>
      <c r="N1" s="25" t="s">
        <v>13</v>
      </c>
      <c r="O1" s="25" t="s">
        <v>14</v>
      </c>
      <c r="P1" s="25" t="s">
        <v>15</v>
      </c>
      <c r="Q1" s="25" t="s">
        <v>16</v>
      </c>
      <c r="R1" s="26" t="s">
        <v>17</v>
      </c>
      <c r="S1" s="26" t="s">
        <v>18</v>
      </c>
      <c r="T1" s="27" t="s">
        <v>19</v>
      </c>
      <c r="U1" s="28" t="s">
        <v>20</v>
      </c>
      <c r="V1" s="29" t="s">
        <v>21</v>
      </c>
      <c r="W1" s="29" t="s">
        <v>22</v>
      </c>
      <c r="X1" s="28" t="s">
        <v>23</v>
      </c>
      <c r="Y1" s="28" t="s">
        <v>24</v>
      </c>
      <c r="Z1" s="28" t="s">
        <v>231</v>
      </c>
      <c r="AA1" s="28" t="s">
        <v>261</v>
      </c>
      <c r="AB1" s="28" t="s">
        <v>572</v>
      </c>
      <c r="AC1" s="28" t="s">
        <v>25</v>
      </c>
      <c r="AD1" s="28" t="s">
        <v>26</v>
      </c>
      <c r="AE1" s="30" t="s">
        <v>27</v>
      </c>
      <c r="AF1" s="30" t="s">
        <v>324</v>
      </c>
      <c r="AG1" s="30" t="s">
        <v>28</v>
      </c>
      <c r="AH1" s="31" t="s">
        <v>29</v>
      </c>
      <c r="AI1" s="30" t="s">
        <v>30</v>
      </c>
      <c r="AJ1" s="30" t="s">
        <v>31</v>
      </c>
      <c r="AK1" s="30" t="s">
        <v>32</v>
      </c>
      <c r="AL1" s="30" t="s">
        <v>33</v>
      </c>
      <c r="AM1" s="30" t="s">
        <v>34</v>
      </c>
      <c r="AN1" s="30" t="s">
        <v>35</v>
      </c>
      <c r="AO1" s="30" t="s">
        <v>36</v>
      </c>
      <c r="AP1" s="30" t="s">
        <v>37</v>
      </c>
      <c r="AQ1" s="30" t="s">
        <v>38</v>
      </c>
    </row>
    <row r="2" spans="1:43" s="16" customFormat="1" ht="24" customHeight="1" x14ac:dyDescent="0.25">
      <c r="A2" s="16" t="s">
        <v>91</v>
      </c>
      <c r="B2" s="16" t="s">
        <v>91</v>
      </c>
      <c r="C2" s="17" t="s">
        <v>156</v>
      </c>
      <c r="D2" s="16" t="s">
        <v>89</v>
      </c>
      <c r="E2" s="16" t="s">
        <v>89</v>
      </c>
      <c r="F2" s="16" t="s">
        <v>107</v>
      </c>
      <c r="G2" s="16" t="s">
        <v>110</v>
      </c>
      <c r="T2" s="17"/>
      <c r="V2" s="17"/>
      <c r="W2" s="17"/>
      <c r="AF2" s="16">
        <f>COUNTIF($AE$2:$AE$250,AE2)</f>
        <v>0</v>
      </c>
      <c r="AH2" s="17"/>
    </row>
    <row r="3" spans="1:43" s="16" customFormat="1" ht="24" customHeight="1" x14ac:dyDescent="0.25">
      <c r="A3" s="16" t="s">
        <v>91</v>
      </c>
      <c r="B3" s="16" t="s">
        <v>91</v>
      </c>
      <c r="C3" s="17" t="s">
        <v>156</v>
      </c>
      <c r="D3" s="16" t="s">
        <v>40</v>
      </c>
      <c r="E3" s="16" t="s">
        <v>40</v>
      </c>
      <c r="F3" s="17" t="s">
        <v>99</v>
      </c>
      <c r="G3" s="16" t="s">
        <v>89</v>
      </c>
      <c r="T3" s="17"/>
      <c r="V3" s="17"/>
      <c r="W3" s="17"/>
      <c r="AF3" s="16">
        <f>COUNTIF($AE$2:$AE$250,AE3)</f>
        <v>0</v>
      </c>
      <c r="AH3" s="17"/>
    </row>
    <row r="4" spans="1:43" s="16" customFormat="1" ht="24" customHeight="1" x14ac:dyDescent="0.25">
      <c r="A4" s="16" t="s">
        <v>91</v>
      </c>
      <c r="B4" s="16" t="s">
        <v>91</v>
      </c>
      <c r="C4" s="17" t="s">
        <v>156</v>
      </c>
      <c r="D4" s="16" t="s">
        <v>100</v>
      </c>
      <c r="E4" s="16" t="s">
        <v>100</v>
      </c>
      <c r="F4" s="17" t="s">
        <v>101</v>
      </c>
      <c r="G4" s="16" t="s">
        <v>89</v>
      </c>
      <c r="T4" s="17"/>
      <c r="V4" s="17"/>
      <c r="W4" s="17"/>
      <c r="AF4" s="16">
        <f>COUNTIF($AE$2:$AE$250,AE4)</f>
        <v>0</v>
      </c>
      <c r="AH4" s="17"/>
    </row>
    <row r="5" spans="1:43" s="16" customFormat="1" ht="24" customHeight="1" x14ac:dyDescent="0.25">
      <c r="A5" s="16" t="s">
        <v>91</v>
      </c>
      <c r="B5" s="16" t="s">
        <v>91</v>
      </c>
      <c r="C5" s="17" t="s">
        <v>156</v>
      </c>
      <c r="D5" s="16" t="s">
        <v>53</v>
      </c>
      <c r="E5" s="16" t="s">
        <v>53</v>
      </c>
      <c r="F5" s="17" t="s">
        <v>102</v>
      </c>
      <c r="G5" s="16" t="s">
        <v>89</v>
      </c>
      <c r="T5" s="17"/>
      <c r="V5" s="17"/>
      <c r="W5" s="17"/>
      <c r="AF5" s="16">
        <f>COUNTIF($AE$2:$AE$250,AE5)</f>
        <v>0</v>
      </c>
      <c r="AH5" s="17"/>
    </row>
    <row r="6" spans="1:43" s="16" customFormat="1" ht="24" customHeight="1" x14ac:dyDescent="0.25">
      <c r="A6" s="16" t="s">
        <v>91</v>
      </c>
      <c r="B6" s="16" t="s">
        <v>91</v>
      </c>
      <c r="C6" s="17" t="s">
        <v>156</v>
      </c>
      <c r="D6" s="16" t="s">
        <v>103</v>
      </c>
      <c r="E6" s="16" t="s">
        <v>103</v>
      </c>
      <c r="F6" s="17" t="s">
        <v>104</v>
      </c>
      <c r="G6" s="16" t="s">
        <v>89</v>
      </c>
      <c r="T6" s="17"/>
      <c r="V6" s="17"/>
      <c r="W6" s="17"/>
      <c r="AF6" s="16">
        <f>COUNTIF($AE$2:$AE$250,AE6)</f>
        <v>0</v>
      </c>
      <c r="AH6" s="17"/>
    </row>
    <row r="7" spans="1:43" s="16" customFormat="1" ht="24" customHeight="1" x14ac:dyDescent="0.25">
      <c r="A7" s="16" t="s">
        <v>91</v>
      </c>
      <c r="B7" s="16" t="s">
        <v>91</v>
      </c>
      <c r="C7" s="17" t="s">
        <v>156</v>
      </c>
      <c r="D7" s="16" t="s">
        <v>58</v>
      </c>
      <c r="E7" s="16" t="s">
        <v>58</v>
      </c>
      <c r="F7" s="17" t="s">
        <v>105</v>
      </c>
      <c r="G7" s="16" t="s">
        <v>89</v>
      </c>
      <c r="T7" s="17"/>
      <c r="V7" s="17"/>
      <c r="W7" s="17"/>
      <c r="AF7" s="16">
        <f>COUNTIF($AE$2:$AE$250,AE7)</f>
        <v>0</v>
      </c>
      <c r="AH7" s="17"/>
    </row>
    <row r="8" spans="1:43" s="16" customFormat="1" ht="24" customHeight="1" x14ac:dyDescent="0.25">
      <c r="A8" s="16" t="s">
        <v>91</v>
      </c>
      <c r="B8" s="16" t="s">
        <v>91</v>
      </c>
      <c r="C8" s="17" t="s">
        <v>156</v>
      </c>
      <c r="D8" s="16" t="s">
        <v>57</v>
      </c>
      <c r="E8" s="16" t="s">
        <v>57</v>
      </c>
      <c r="F8" s="17" t="s">
        <v>106</v>
      </c>
      <c r="G8" s="16" t="s">
        <v>89</v>
      </c>
      <c r="T8" s="17"/>
      <c r="V8" s="17"/>
      <c r="W8" s="17"/>
      <c r="AF8" s="16">
        <f>COUNTIF($AE$2:$AE$250,AE8)</f>
        <v>0</v>
      </c>
      <c r="AH8" s="17"/>
    </row>
    <row r="9" spans="1:43" s="16" customFormat="1" ht="24" customHeight="1" x14ac:dyDescent="0.25">
      <c r="A9" s="16" t="s">
        <v>91</v>
      </c>
      <c r="B9" s="16" t="s">
        <v>91</v>
      </c>
      <c r="C9" s="17" t="s">
        <v>156</v>
      </c>
      <c r="D9" s="16" t="s">
        <v>108</v>
      </c>
      <c r="E9" s="16" t="s">
        <v>108</v>
      </c>
      <c r="F9" s="17" t="s">
        <v>109</v>
      </c>
      <c r="G9" s="16" t="s">
        <v>89</v>
      </c>
      <c r="T9" s="17"/>
      <c r="V9" s="17"/>
      <c r="W9" s="17"/>
      <c r="AF9" s="16">
        <f>COUNTIF($AE$2:$AE$250,AE9)</f>
        <v>0</v>
      </c>
      <c r="AH9" s="17"/>
    </row>
    <row r="10" spans="1:43" s="16" customFormat="1" ht="24" customHeight="1" x14ac:dyDescent="0.25">
      <c r="A10" s="16" t="s">
        <v>91</v>
      </c>
      <c r="B10" s="16" t="s">
        <v>91</v>
      </c>
      <c r="C10" s="17" t="s">
        <v>156</v>
      </c>
      <c r="F10" s="17"/>
      <c r="R10" s="16" t="s">
        <v>190</v>
      </c>
      <c r="S10" s="16" t="s">
        <v>190</v>
      </c>
      <c r="T10" s="17" t="s">
        <v>191</v>
      </c>
      <c r="U10" s="16" t="s">
        <v>219</v>
      </c>
      <c r="V10" s="17" t="s">
        <v>219</v>
      </c>
      <c r="W10" s="17"/>
      <c r="X10" s="16">
        <v>0</v>
      </c>
      <c r="Y10" s="16" t="s">
        <v>230</v>
      </c>
      <c r="AC10" s="16" t="s">
        <v>722</v>
      </c>
      <c r="AD10" s="16" t="s">
        <v>114</v>
      </c>
      <c r="AF10" s="16">
        <f>COUNTIF($AE$2:$AE$250,AE10)</f>
        <v>0</v>
      </c>
      <c r="AH10" s="17"/>
    </row>
    <row r="11" spans="1:43" s="16" customFormat="1" ht="24" customHeight="1" x14ac:dyDescent="0.25">
      <c r="A11" s="16" t="s">
        <v>91</v>
      </c>
      <c r="B11" s="16" t="s">
        <v>91</v>
      </c>
      <c r="C11" s="17" t="s">
        <v>156</v>
      </c>
      <c r="F11" s="17"/>
      <c r="R11" s="16" t="s">
        <v>190</v>
      </c>
      <c r="S11" s="16" t="s">
        <v>190</v>
      </c>
      <c r="T11" s="17" t="s">
        <v>191</v>
      </c>
      <c r="U11" s="16" t="s">
        <v>192</v>
      </c>
      <c r="V11" s="17" t="s">
        <v>192</v>
      </c>
      <c r="W11" s="17" t="s">
        <v>546</v>
      </c>
      <c r="X11" s="16">
        <v>1</v>
      </c>
      <c r="Y11" s="16" t="s">
        <v>583</v>
      </c>
      <c r="AC11" s="16" t="s">
        <v>114</v>
      </c>
      <c r="AF11" s="16">
        <f>COUNTIF($AE$2:$AE$250,AE11)</f>
        <v>0</v>
      </c>
      <c r="AH11" s="17"/>
    </row>
    <row r="12" spans="1:43" s="16" customFormat="1" ht="24" customHeight="1" x14ac:dyDescent="0.25">
      <c r="A12" s="16" t="s">
        <v>91</v>
      </c>
      <c r="B12" s="16" t="s">
        <v>91</v>
      </c>
      <c r="C12" s="17" t="s">
        <v>156</v>
      </c>
      <c r="F12" s="17"/>
      <c r="R12" s="16" t="s">
        <v>190</v>
      </c>
      <c r="S12" s="16" t="s">
        <v>190</v>
      </c>
      <c r="T12" s="17" t="s">
        <v>191</v>
      </c>
      <c r="U12" s="16" t="s">
        <v>193</v>
      </c>
      <c r="V12" s="17" t="s">
        <v>193</v>
      </c>
      <c r="W12" s="17" t="s">
        <v>544</v>
      </c>
      <c r="X12" s="16">
        <v>2</v>
      </c>
      <c r="Y12" s="16" t="s">
        <v>583</v>
      </c>
      <c r="AC12" s="16" t="s">
        <v>114</v>
      </c>
      <c r="AF12" s="16">
        <f>COUNTIF($AE$2:$AE$250,AE12)</f>
        <v>0</v>
      </c>
      <c r="AH12" s="17"/>
    </row>
    <row r="13" spans="1:43" s="16" customFormat="1" ht="24" customHeight="1" x14ac:dyDescent="0.25">
      <c r="A13" s="16" t="s">
        <v>91</v>
      </c>
      <c r="B13" s="16" t="s">
        <v>91</v>
      </c>
      <c r="C13" s="17" t="s">
        <v>156</v>
      </c>
      <c r="F13" s="17"/>
      <c r="R13" s="16" t="s">
        <v>190</v>
      </c>
      <c r="S13" s="16" t="s">
        <v>190</v>
      </c>
      <c r="T13" s="17" t="s">
        <v>191</v>
      </c>
      <c r="U13" s="16" t="s">
        <v>195</v>
      </c>
      <c r="V13" s="17" t="s">
        <v>195</v>
      </c>
      <c r="W13" s="17" t="s">
        <v>527</v>
      </c>
      <c r="X13" s="16">
        <v>3</v>
      </c>
      <c r="Y13" s="16" t="s">
        <v>583</v>
      </c>
      <c r="AA13" s="16" t="s">
        <v>528</v>
      </c>
      <c r="AC13" s="16" t="s">
        <v>114</v>
      </c>
      <c r="AF13" s="16">
        <f>COUNTIF($AE$2:$AE$250,AE13)</f>
        <v>0</v>
      </c>
      <c r="AH13" s="17"/>
    </row>
    <row r="14" spans="1:43" s="16" customFormat="1" ht="24" customHeight="1" x14ac:dyDescent="0.25">
      <c r="A14" s="16" t="s">
        <v>91</v>
      </c>
      <c r="B14" s="16" t="s">
        <v>91</v>
      </c>
      <c r="C14" s="17" t="s">
        <v>156</v>
      </c>
      <c r="F14" s="17"/>
      <c r="R14" s="16" t="s">
        <v>190</v>
      </c>
      <c r="S14" s="16" t="s">
        <v>190</v>
      </c>
      <c r="T14" s="17" t="s">
        <v>191</v>
      </c>
      <c r="U14" s="16" t="s">
        <v>196</v>
      </c>
      <c r="V14" s="17" t="s">
        <v>196</v>
      </c>
      <c r="W14" s="17" t="s">
        <v>529</v>
      </c>
      <c r="X14" s="16">
        <v>4</v>
      </c>
      <c r="Y14" s="16" t="s">
        <v>583</v>
      </c>
      <c r="AA14" s="16" t="s">
        <v>530</v>
      </c>
      <c r="AC14" s="16" t="s">
        <v>114</v>
      </c>
      <c r="AF14" s="16">
        <f>COUNTIF($AE$2:$AE$250,AE14)</f>
        <v>0</v>
      </c>
      <c r="AH14" s="17"/>
    </row>
    <row r="15" spans="1:43" s="16" customFormat="1" ht="24" customHeight="1" x14ac:dyDescent="0.25">
      <c r="A15" s="16" t="s">
        <v>91</v>
      </c>
      <c r="B15" s="16" t="s">
        <v>91</v>
      </c>
      <c r="C15" s="17" t="s">
        <v>156</v>
      </c>
      <c r="F15" s="17"/>
      <c r="R15" s="16" t="s">
        <v>190</v>
      </c>
      <c r="S15" s="16" t="s">
        <v>190</v>
      </c>
      <c r="T15" s="17" t="s">
        <v>191</v>
      </c>
      <c r="U15" s="16" t="s">
        <v>197</v>
      </c>
      <c r="V15" s="17" t="s">
        <v>197</v>
      </c>
      <c r="W15" s="17" t="s">
        <v>531</v>
      </c>
      <c r="X15" s="16">
        <v>5</v>
      </c>
      <c r="Y15" s="16" t="s">
        <v>583</v>
      </c>
      <c r="AC15" s="16" t="s">
        <v>114</v>
      </c>
      <c r="AF15" s="16">
        <f>COUNTIF($AE$2:$AE$250,AE15)</f>
        <v>0</v>
      </c>
      <c r="AH15" s="17"/>
    </row>
    <row r="16" spans="1:43" s="16" customFormat="1" ht="24" customHeight="1" x14ac:dyDescent="0.25">
      <c r="A16" s="16" t="s">
        <v>91</v>
      </c>
      <c r="B16" s="16" t="s">
        <v>91</v>
      </c>
      <c r="C16" s="17" t="s">
        <v>156</v>
      </c>
      <c r="F16" s="17"/>
      <c r="R16" s="16" t="s">
        <v>190</v>
      </c>
      <c r="S16" s="16" t="s">
        <v>190</v>
      </c>
      <c r="T16" s="17" t="s">
        <v>191</v>
      </c>
      <c r="U16" s="16" t="s">
        <v>198</v>
      </c>
      <c r="V16" s="17" t="s">
        <v>198</v>
      </c>
      <c r="W16" s="17" t="s">
        <v>532</v>
      </c>
      <c r="X16" s="16">
        <v>6</v>
      </c>
      <c r="Y16" s="16" t="s">
        <v>583</v>
      </c>
      <c r="AC16" s="16" t="s">
        <v>114</v>
      </c>
      <c r="AF16" s="16">
        <f>COUNTIF($AE$2:$AE$250,AE16)</f>
        <v>0</v>
      </c>
      <c r="AH16" s="17"/>
    </row>
    <row r="17" spans="1:34" s="16" customFormat="1" ht="24" customHeight="1" x14ac:dyDescent="0.25">
      <c r="A17" s="16" t="s">
        <v>91</v>
      </c>
      <c r="B17" s="16" t="s">
        <v>91</v>
      </c>
      <c r="C17" s="17" t="s">
        <v>156</v>
      </c>
      <c r="F17" s="17"/>
      <c r="R17" s="16" t="s">
        <v>190</v>
      </c>
      <c r="S17" s="16" t="s">
        <v>190</v>
      </c>
      <c r="T17" s="17" t="s">
        <v>191</v>
      </c>
      <c r="U17" s="16" t="s">
        <v>199</v>
      </c>
      <c r="V17" s="17" t="s">
        <v>199</v>
      </c>
      <c r="W17" s="17" t="s">
        <v>533</v>
      </c>
      <c r="X17" s="16">
        <v>7</v>
      </c>
      <c r="Y17" s="16" t="s">
        <v>583</v>
      </c>
      <c r="AC17" s="16" t="s">
        <v>114</v>
      </c>
      <c r="AF17" s="16">
        <f>COUNTIF($AE$2:$AE$250,AE17)</f>
        <v>0</v>
      </c>
      <c r="AH17" s="17"/>
    </row>
    <row r="18" spans="1:34" s="16" customFormat="1" ht="24" customHeight="1" x14ac:dyDescent="0.25">
      <c r="A18" s="16" t="s">
        <v>91</v>
      </c>
      <c r="B18" s="16" t="s">
        <v>91</v>
      </c>
      <c r="C18" s="17" t="s">
        <v>156</v>
      </c>
      <c r="F18" s="17"/>
      <c r="R18" s="16" t="s">
        <v>190</v>
      </c>
      <c r="S18" s="16" t="s">
        <v>190</v>
      </c>
      <c r="T18" s="17" t="s">
        <v>191</v>
      </c>
      <c r="U18" s="16" t="s">
        <v>200</v>
      </c>
      <c r="V18" s="17" t="s">
        <v>200</v>
      </c>
      <c r="W18" s="17" t="s">
        <v>534</v>
      </c>
      <c r="X18" s="16">
        <v>8</v>
      </c>
      <c r="Y18" s="16" t="s">
        <v>583</v>
      </c>
      <c r="AC18" s="16" t="s">
        <v>114</v>
      </c>
      <c r="AF18" s="16">
        <f>COUNTIF($AE$2:$AE$250,AE18)</f>
        <v>0</v>
      </c>
      <c r="AH18" s="17"/>
    </row>
    <row r="19" spans="1:34" s="16" customFormat="1" ht="24" customHeight="1" x14ac:dyDescent="0.25">
      <c r="A19" s="16" t="s">
        <v>91</v>
      </c>
      <c r="B19" s="16" t="s">
        <v>91</v>
      </c>
      <c r="C19" s="17" t="s">
        <v>156</v>
      </c>
      <c r="F19" s="17"/>
      <c r="R19" s="16" t="s">
        <v>190</v>
      </c>
      <c r="S19" s="16" t="s">
        <v>190</v>
      </c>
      <c r="T19" s="17" t="s">
        <v>191</v>
      </c>
      <c r="U19" s="16" t="s">
        <v>201</v>
      </c>
      <c r="V19" s="17" t="s">
        <v>201</v>
      </c>
      <c r="W19" s="17" t="s">
        <v>545</v>
      </c>
      <c r="X19" s="16">
        <v>9</v>
      </c>
      <c r="Y19" s="16" t="s">
        <v>583</v>
      </c>
      <c r="AC19" s="16" t="s">
        <v>114</v>
      </c>
      <c r="AF19" s="16">
        <f>COUNTIF($AE$2:$AE$250,AE19)</f>
        <v>0</v>
      </c>
      <c r="AH19" s="17"/>
    </row>
    <row r="20" spans="1:34" s="16" customFormat="1" ht="24" customHeight="1" x14ac:dyDescent="0.25">
      <c r="A20" s="16" t="s">
        <v>91</v>
      </c>
      <c r="B20" s="16" t="s">
        <v>91</v>
      </c>
      <c r="C20" s="17" t="s">
        <v>156</v>
      </c>
      <c r="F20" s="17"/>
      <c r="R20" s="16" t="s">
        <v>190</v>
      </c>
      <c r="S20" s="16" t="s">
        <v>190</v>
      </c>
      <c r="T20" s="17" t="s">
        <v>191</v>
      </c>
      <c r="U20" s="16" t="s">
        <v>202</v>
      </c>
      <c r="V20" s="17" t="s">
        <v>202</v>
      </c>
      <c r="W20" s="17" t="s">
        <v>535</v>
      </c>
      <c r="X20" s="16">
        <v>10</v>
      </c>
      <c r="Y20" s="16" t="s">
        <v>583</v>
      </c>
      <c r="AC20" s="16" t="s">
        <v>114</v>
      </c>
      <c r="AF20" s="16">
        <f>COUNTIF($AE$2:$AE$250,AE20)</f>
        <v>0</v>
      </c>
      <c r="AH20" s="17"/>
    </row>
    <row r="21" spans="1:34" s="16" customFormat="1" ht="24" customHeight="1" x14ac:dyDescent="0.25">
      <c r="A21" s="16" t="s">
        <v>91</v>
      </c>
      <c r="B21" s="16" t="s">
        <v>91</v>
      </c>
      <c r="C21" s="17" t="s">
        <v>156</v>
      </c>
      <c r="F21" s="17"/>
      <c r="R21" s="16" t="s">
        <v>190</v>
      </c>
      <c r="S21" s="16" t="s">
        <v>190</v>
      </c>
      <c r="T21" s="17" t="s">
        <v>191</v>
      </c>
      <c r="U21" s="16" t="s">
        <v>203</v>
      </c>
      <c r="V21" s="17" t="s">
        <v>203</v>
      </c>
      <c r="W21" s="17" t="s">
        <v>536</v>
      </c>
      <c r="X21" s="16">
        <v>11</v>
      </c>
      <c r="Y21" s="16" t="s">
        <v>583</v>
      </c>
      <c r="AC21" s="16" t="s">
        <v>114</v>
      </c>
      <c r="AF21" s="16">
        <f>COUNTIF($AE$2:$AE$250,AE21)</f>
        <v>0</v>
      </c>
      <c r="AH21" s="17"/>
    </row>
    <row r="22" spans="1:34" s="16" customFormat="1" ht="24" customHeight="1" x14ac:dyDescent="0.25">
      <c r="A22" s="16" t="s">
        <v>91</v>
      </c>
      <c r="B22" s="16" t="s">
        <v>91</v>
      </c>
      <c r="C22" s="17" t="s">
        <v>156</v>
      </c>
      <c r="F22" s="17"/>
      <c r="R22" s="16" t="s">
        <v>190</v>
      </c>
      <c r="S22" s="16" t="s">
        <v>190</v>
      </c>
      <c r="T22" s="17" t="s">
        <v>191</v>
      </c>
      <c r="U22" s="16" t="s">
        <v>204</v>
      </c>
      <c r="V22" s="17" t="s">
        <v>204</v>
      </c>
      <c r="W22" s="17" t="s">
        <v>537</v>
      </c>
      <c r="X22" s="16">
        <v>12</v>
      </c>
      <c r="Y22" s="16" t="s">
        <v>583</v>
      </c>
      <c r="AC22" s="16" t="s">
        <v>114</v>
      </c>
      <c r="AF22" s="16">
        <f>COUNTIF($AE$2:$AE$250,AE22)</f>
        <v>0</v>
      </c>
      <c r="AH22" s="17"/>
    </row>
    <row r="23" spans="1:34" s="16" customFormat="1" ht="24" customHeight="1" x14ac:dyDescent="0.25">
      <c r="A23" s="16" t="s">
        <v>91</v>
      </c>
      <c r="B23" s="16" t="s">
        <v>91</v>
      </c>
      <c r="C23" s="17" t="s">
        <v>156</v>
      </c>
      <c r="F23" s="17"/>
      <c r="R23" s="16" t="s">
        <v>190</v>
      </c>
      <c r="S23" s="16" t="s">
        <v>190</v>
      </c>
      <c r="T23" s="17" t="s">
        <v>191</v>
      </c>
      <c r="U23" s="16" t="s">
        <v>205</v>
      </c>
      <c r="V23" s="17" t="s">
        <v>205</v>
      </c>
      <c r="W23" s="17" t="s">
        <v>538</v>
      </c>
      <c r="X23" s="16">
        <v>13</v>
      </c>
      <c r="Y23" s="16" t="s">
        <v>583</v>
      </c>
      <c r="AC23" s="16" t="s">
        <v>114</v>
      </c>
      <c r="AF23" s="16">
        <f>COUNTIF($AE$2:$AE$250,AE23)</f>
        <v>0</v>
      </c>
      <c r="AH23" s="17"/>
    </row>
    <row r="24" spans="1:34" s="16" customFormat="1" ht="24" customHeight="1" x14ac:dyDescent="0.25">
      <c r="A24" s="16" t="s">
        <v>91</v>
      </c>
      <c r="B24" s="16" t="s">
        <v>91</v>
      </c>
      <c r="C24" s="17" t="s">
        <v>156</v>
      </c>
      <c r="F24" s="17"/>
      <c r="R24" s="16" t="s">
        <v>190</v>
      </c>
      <c r="S24" s="16" t="s">
        <v>190</v>
      </c>
      <c r="T24" s="17" t="s">
        <v>191</v>
      </c>
      <c r="U24" s="16" t="s">
        <v>206</v>
      </c>
      <c r="V24" s="17" t="s">
        <v>206</v>
      </c>
      <c r="W24" s="17" t="s">
        <v>539</v>
      </c>
      <c r="X24" s="16">
        <v>14</v>
      </c>
      <c r="Y24" s="16" t="s">
        <v>583</v>
      </c>
      <c r="AC24" s="16" t="s">
        <v>114</v>
      </c>
      <c r="AF24" s="16">
        <f>COUNTIF($AE$2:$AE$250,AE24)</f>
        <v>0</v>
      </c>
      <c r="AH24" s="17"/>
    </row>
    <row r="25" spans="1:34" s="16" customFormat="1" ht="24" customHeight="1" x14ac:dyDescent="0.25">
      <c r="A25" s="16" t="s">
        <v>91</v>
      </c>
      <c r="B25" s="16" t="s">
        <v>91</v>
      </c>
      <c r="C25" s="17" t="s">
        <v>156</v>
      </c>
      <c r="F25" s="17"/>
      <c r="R25" s="16" t="s">
        <v>190</v>
      </c>
      <c r="S25" s="16" t="s">
        <v>190</v>
      </c>
      <c r="T25" s="17" t="s">
        <v>191</v>
      </c>
      <c r="U25" s="16" t="s">
        <v>207</v>
      </c>
      <c r="V25" s="17" t="s">
        <v>207</v>
      </c>
      <c r="W25" s="17" t="s">
        <v>540</v>
      </c>
      <c r="X25" s="16">
        <v>15</v>
      </c>
      <c r="Y25" s="16" t="s">
        <v>583</v>
      </c>
      <c r="AC25" s="16" t="s">
        <v>114</v>
      </c>
      <c r="AF25" s="16">
        <f>COUNTIF($AE$2:$AE$250,AE25)</f>
        <v>0</v>
      </c>
      <c r="AH25" s="17"/>
    </row>
    <row r="26" spans="1:34" s="16" customFormat="1" ht="24" customHeight="1" x14ac:dyDescent="0.25">
      <c r="A26" s="16" t="s">
        <v>91</v>
      </c>
      <c r="B26" s="16" t="s">
        <v>91</v>
      </c>
      <c r="C26" s="17" t="s">
        <v>156</v>
      </c>
      <c r="F26" s="17"/>
      <c r="R26" s="16" t="s">
        <v>190</v>
      </c>
      <c r="S26" s="16" t="s">
        <v>190</v>
      </c>
      <c r="T26" s="17" t="s">
        <v>191</v>
      </c>
      <c r="U26" s="16" t="s">
        <v>208</v>
      </c>
      <c r="V26" s="17" t="s">
        <v>208</v>
      </c>
      <c r="W26" s="17" t="s">
        <v>541</v>
      </c>
      <c r="X26" s="16">
        <v>16</v>
      </c>
      <c r="Y26" s="16" t="s">
        <v>583</v>
      </c>
      <c r="AC26" s="16" t="s">
        <v>114</v>
      </c>
      <c r="AF26" s="16">
        <f>COUNTIF($AE$2:$AE$250,AE26)</f>
        <v>0</v>
      </c>
      <c r="AH26" s="17"/>
    </row>
    <row r="27" spans="1:34" s="16" customFormat="1" ht="24" customHeight="1" x14ac:dyDescent="0.25">
      <c r="A27" s="16" t="s">
        <v>91</v>
      </c>
      <c r="B27" s="16" t="s">
        <v>91</v>
      </c>
      <c r="C27" s="17" t="s">
        <v>156</v>
      </c>
      <c r="F27" s="17"/>
      <c r="R27" s="16" t="s">
        <v>190</v>
      </c>
      <c r="S27" s="16" t="s">
        <v>190</v>
      </c>
      <c r="T27" s="17" t="s">
        <v>191</v>
      </c>
      <c r="U27" s="16" t="s">
        <v>209</v>
      </c>
      <c r="V27" s="17" t="s">
        <v>209</v>
      </c>
      <c r="W27" s="17" t="s">
        <v>542</v>
      </c>
      <c r="X27" s="16">
        <v>17</v>
      </c>
      <c r="Y27" s="16" t="s">
        <v>583</v>
      </c>
      <c r="AC27" s="16" t="s">
        <v>114</v>
      </c>
      <c r="AF27" s="16">
        <f>COUNTIF($AE$2:$AE$250,AE27)</f>
        <v>0</v>
      </c>
      <c r="AH27" s="17"/>
    </row>
    <row r="28" spans="1:34" s="16" customFormat="1" ht="24" customHeight="1" x14ac:dyDescent="0.25">
      <c r="A28" s="16" t="s">
        <v>91</v>
      </c>
      <c r="B28" s="16" t="s">
        <v>91</v>
      </c>
      <c r="C28" s="17" t="s">
        <v>156</v>
      </c>
      <c r="F28" s="17"/>
      <c r="R28" s="16" t="s">
        <v>190</v>
      </c>
      <c r="S28" s="16" t="s">
        <v>190</v>
      </c>
      <c r="T28" s="17" t="s">
        <v>191</v>
      </c>
      <c r="U28" s="16" t="s">
        <v>210</v>
      </c>
      <c r="V28" s="17" t="s">
        <v>210</v>
      </c>
      <c r="W28" s="17" t="s">
        <v>543</v>
      </c>
      <c r="X28" s="16">
        <v>18</v>
      </c>
      <c r="Y28" s="16" t="s">
        <v>583</v>
      </c>
      <c r="AC28" s="16" t="s">
        <v>114</v>
      </c>
      <c r="AF28" s="16">
        <f>COUNTIF($AE$2:$AE$250,AE28)</f>
        <v>0</v>
      </c>
      <c r="AH28" s="17"/>
    </row>
    <row r="29" spans="1:34" s="16" customFormat="1" ht="24" customHeight="1" x14ac:dyDescent="0.25">
      <c r="A29" s="16" t="s">
        <v>91</v>
      </c>
      <c r="B29" s="16" t="s">
        <v>91</v>
      </c>
      <c r="C29" s="17" t="s">
        <v>156</v>
      </c>
      <c r="F29" s="17"/>
      <c r="R29" s="16" t="s">
        <v>190</v>
      </c>
      <c r="S29" s="16" t="s">
        <v>190</v>
      </c>
      <c r="T29" s="17" t="s">
        <v>191</v>
      </c>
      <c r="U29" s="16" t="s">
        <v>211</v>
      </c>
      <c r="V29" s="17" t="s">
        <v>211</v>
      </c>
      <c r="W29" s="17" t="s">
        <v>543</v>
      </c>
      <c r="X29" s="16">
        <v>19</v>
      </c>
      <c r="Y29" s="16" t="s">
        <v>583</v>
      </c>
      <c r="AC29" s="16" t="s">
        <v>114</v>
      </c>
      <c r="AF29" s="16">
        <f>COUNTIF($AE$2:$AE$250,AE29)</f>
        <v>0</v>
      </c>
      <c r="AH29" s="17"/>
    </row>
    <row r="30" spans="1:34" s="16" customFormat="1" ht="24" customHeight="1" x14ac:dyDescent="0.25">
      <c r="A30" s="16" t="s">
        <v>91</v>
      </c>
      <c r="B30" s="16" t="s">
        <v>91</v>
      </c>
      <c r="C30" s="17" t="s">
        <v>156</v>
      </c>
      <c r="F30" s="17"/>
      <c r="R30" s="16" t="s">
        <v>190</v>
      </c>
      <c r="S30" s="16" t="s">
        <v>190</v>
      </c>
      <c r="T30" s="17" t="s">
        <v>191</v>
      </c>
      <c r="U30" s="16" t="s">
        <v>212</v>
      </c>
      <c r="V30" s="17" t="s">
        <v>212</v>
      </c>
      <c r="W30" s="17" t="s">
        <v>543</v>
      </c>
      <c r="X30" s="16">
        <v>20</v>
      </c>
      <c r="Y30" s="16" t="s">
        <v>583</v>
      </c>
      <c r="AC30" s="16" t="s">
        <v>114</v>
      </c>
      <c r="AF30" s="16">
        <f>COUNTIF($AE$2:$AE$250,AE30)</f>
        <v>0</v>
      </c>
      <c r="AH30" s="17"/>
    </row>
    <row r="31" spans="1:34" s="16" customFormat="1" ht="24" customHeight="1" x14ac:dyDescent="0.25">
      <c r="A31" s="16" t="s">
        <v>91</v>
      </c>
      <c r="B31" s="16" t="s">
        <v>91</v>
      </c>
      <c r="C31" s="17" t="s">
        <v>156</v>
      </c>
      <c r="F31" s="17"/>
      <c r="R31" s="16" t="s">
        <v>190</v>
      </c>
      <c r="S31" s="16" t="s">
        <v>190</v>
      </c>
      <c r="T31" s="17" t="s">
        <v>191</v>
      </c>
      <c r="U31" s="16" t="s">
        <v>213</v>
      </c>
      <c r="V31" s="17" t="s">
        <v>213</v>
      </c>
      <c r="W31" s="17" t="s">
        <v>543</v>
      </c>
      <c r="X31" s="16">
        <v>21</v>
      </c>
      <c r="Y31" s="16" t="s">
        <v>583</v>
      </c>
      <c r="AC31" s="16" t="s">
        <v>114</v>
      </c>
      <c r="AF31" s="16">
        <f>COUNTIF($AE$2:$AE$250,AE31)</f>
        <v>0</v>
      </c>
      <c r="AH31" s="17"/>
    </row>
    <row r="32" spans="1:34" s="16" customFormat="1" ht="24" customHeight="1" x14ac:dyDescent="0.25">
      <c r="A32" s="16" t="s">
        <v>91</v>
      </c>
      <c r="B32" s="16" t="s">
        <v>91</v>
      </c>
      <c r="C32" s="17" t="s">
        <v>156</v>
      </c>
      <c r="F32" s="17"/>
      <c r="R32" s="16" t="s">
        <v>190</v>
      </c>
      <c r="S32" s="16" t="s">
        <v>190</v>
      </c>
      <c r="T32" s="17" t="s">
        <v>191</v>
      </c>
      <c r="U32" s="16" t="s">
        <v>214</v>
      </c>
      <c r="V32" s="17" t="s">
        <v>214</v>
      </c>
      <c r="W32" s="17" t="s">
        <v>543</v>
      </c>
      <c r="X32" s="16">
        <v>22</v>
      </c>
      <c r="Y32" s="16" t="s">
        <v>583</v>
      </c>
      <c r="AC32" s="16" t="s">
        <v>114</v>
      </c>
      <c r="AF32" s="16">
        <f>COUNTIF($AE$2:$AE$250,AE32)</f>
        <v>0</v>
      </c>
      <c r="AH32" s="17"/>
    </row>
    <row r="33" spans="1:43" s="16" customFormat="1" ht="24" customHeight="1" x14ac:dyDescent="0.25">
      <c r="A33" s="16" t="s">
        <v>91</v>
      </c>
      <c r="B33" s="16" t="s">
        <v>91</v>
      </c>
      <c r="C33" s="17" t="s">
        <v>156</v>
      </c>
      <c r="F33" s="17"/>
      <c r="R33" s="16" t="s">
        <v>190</v>
      </c>
      <c r="S33" s="16" t="s">
        <v>190</v>
      </c>
      <c r="T33" s="17" t="s">
        <v>191</v>
      </c>
      <c r="U33" s="16" t="s">
        <v>215</v>
      </c>
      <c r="V33" s="17" t="s">
        <v>215</v>
      </c>
      <c r="W33" s="17" t="s">
        <v>543</v>
      </c>
      <c r="X33" s="16">
        <v>23</v>
      </c>
      <c r="Y33" s="16" t="s">
        <v>583</v>
      </c>
      <c r="AC33" s="16" t="s">
        <v>114</v>
      </c>
      <c r="AF33" s="16">
        <f>COUNTIF($AE$2:$AE$250,AE33)</f>
        <v>0</v>
      </c>
      <c r="AH33" s="17"/>
    </row>
    <row r="34" spans="1:43" s="16" customFormat="1" ht="24" customHeight="1" x14ac:dyDescent="0.25">
      <c r="A34" s="16" t="s">
        <v>91</v>
      </c>
      <c r="B34" s="16" t="s">
        <v>91</v>
      </c>
      <c r="C34" s="17" t="s">
        <v>156</v>
      </c>
      <c r="F34" s="17"/>
      <c r="R34" s="16" t="s">
        <v>190</v>
      </c>
      <c r="S34" s="16" t="s">
        <v>190</v>
      </c>
      <c r="T34" s="17" t="s">
        <v>191</v>
      </c>
      <c r="U34" s="16" t="s">
        <v>216</v>
      </c>
      <c r="V34" s="17" t="s">
        <v>216</v>
      </c>
      <c r="W34" s="17" t="s">
        <v>543</v>
      </c>
      <c r="X34" s="16">
        <v>24</v>
      </c>
      <c r="Y34" s="16" t="s">
        <v>583</v>
      </c>
      <c r="AC34" s="16" t="s">
        <v>114</v>
      </c>
      <c r="AF34" s="16">
        <f>COUNTIF($AE$2:$AE$250,AE34)</f>
        <v>0</v>
      </c>
      <c r="AH34" s="17"/>
    </row>
    <row r="35" spans="1:43" s="16" customFormat="1" ht="24" customHeight="1" x14ac:dyDescent="0.25">
      <c r="A35" s="16" t="s">
        <v>91</v>
      </c>
      <c r="B35" s="16" t="s">
        <v>91</v>
      </c>
      <c r="C35" s="17" t="s">
        <v>156</v>
      </c>
      <c r="F35" s="17"/>
      <c r="R35" s="16" t="s">
        <v>217</v>
      </c>
      <c r="S35" s="16" t="s">
        <v>217</v>
      </c>
      <c r="T35" s="17" t="s">
        <v>218</v>
      </c>
      <c r="U35" s="16" t="s">
        <v>229</v>
      </c>
      <c r="V35" s="17" t="s">
        <v>229</v>
      </c>
      <c r="W35" s="17"/>
      <c r="X35" s="16">
        <v>0</v>
      </c>
      <c r="Y35" s="16" t="s">
        <v>230</v>
      </c>
      <c r="AC35" s="16" t="s">
        <v>722</v>
      </c>
      <c r="AD35" s="16" t="s">
        <v>114</v>
      </c>
      <c r="AF35" s="16">
        <f>COUNTIF($AE$2:$AE$250,AE35)</f>
        <v>0</v>
      </c>
      <c r="AH35" s="17"/>
    </row>
    <row r="36" spans="1:43" s="16" customFormat="1" ht="24" customHeight="1" x14ac:dyDescent="0.25">
      <c r="A36" s="16" t="s">
        <v>91</v>
      </c>
      <c r="B36" s="16" t="s">
        <v>91</v>
      </c>
      <c r="C36" s="17" t="s">
        <v>156</v>
      </c>
      <c r="F36" s="17"/>
      <c r="R36" s="16" t="s">
        <v>217</v>
      </c>
      <c r="S36" s="16" t="s">
        <v>217</v>
      </c>
      <c r="T36" s="17" t="s">
        <v>218</v>
      </c>
      <c r="U36" s="16" t="s">
        <v>87</v>
      </c>
      <c r="V36" s="17" t="s">
        <v>87</v>
      </c>
      <c r="W36" s="17"/>
      <c r="X36" s="16">
        <v>1</v>
      </c>
      <c r="Y36" s="16" t="s">
        <v>583</v>
      </c>
      <c r="AC36" s="16" t="s">
        <v>114</v>
      </c>
      <c r="AF36" s="16">
        <f>COUNTIF($AE$2:$AE$250,AE36)</f>
        <v>0</v>
      </c>
      <c r="AH36" s="17"/>
    </row>
    <row r="37" spans="1:43" s="16" customFormat="1" ht="24" customHeight="1" x14ac:dyDescent="0.25">
      <c r="A37" s="16" t="s">
        <v>91</v>
      </c>
      <c r="B37" s="16" t="s">
        <v>91</v>
      </c>
      <c r="C37" s="17" t="s">
        <v>156</v>
      </c>
      <c r="F37" s="17"/>
      <c r="R37" s="16" t="s">
        <v>217</v>
      </c>
      <c r="S37" s="16" t="s">
        <v>217</v>
      </c>
      <c r="T37" s="17" t="s">
        <v>218</v>
      </c>
      <c r="U37" s="16" t="s">
        <v>227</v>
      </c>
      <c r="V37" s="17" t="s">
        <v>227</v>
      </c>
      <c r="W37" s="17"/>
      <c r="X37" s="16">
        <v>2</v>
      </c>
      <c r="Y37" s="16" t="s">
        <v>583</v>
      </c>
      <c r="AC37" s="16" t="s">
        <v>722</v>
      </c>
      <c r="AF37" s="16">
        <f>COUNTIF($AE$2:$AE$250,AE37)</f>
        <v>0</v>
      </c>
      <c r="AH37" s="17"/>
    </row>
    <row r="38" spans="1:43" s="16" customFormat="1" ht="24" customHeight="1" x14ac:dyDescent="0.25">
      <c r="A38" s="16" t="s">
        <v>91</v>
      </c>
      <c r="B38" s="16" t="s">
        <v>91</v>
      </c>
      <c r="C38" s="17" t="s">
        <v>156</v>
      </c>
      <c r="F38" s="17"/>
      <c r="R38" s="16" t="s">
        <v>217</v>
      </c>
      <c r="S38" s="16" t="s">
        <v>217</v>
      </c>
      <c r="T38" s="17" t="s">
        <v>218</v>
      </c>
      <c r="U38" s="16" t="s">
        <v>219</v>
      </c>
      <c r="V38" s="17" t="s">
        <v>219</v>
      </c>
      <c r="W38" s="17"/>
      <c r="X38" s="16">
        <v>3</v>
      </c>
      <c r="Y38" s="16" t="s">
        <v>230</v>
      </c>
      <c r="AC38" s="16" t="s">
        <v>114</v>
      </c>
      <c r="AE38" s="16" t="s">
        <v>190</v>
      </c>
      <c r="AF38" s="16">
        <f>COUNTIF($AE$2:$AE$250,AE38)</f>
        <v>1</v>
      </c>
      <c r="AG38" s="16" t="s">
        <v>190</v>
      </c>
      <c r="AH38" s="16" t="s">
        <v>190</v>
      </c>
      <c r="AI38" s="16" t="s">
        <v>158</v>
      </c>
      <c r="AJ38" s="16" t="s">
        <v>91</v>
      </c>
      <c r="AK38" s="16" t="s">
        <v>217</v>
      </c>
      <c r="AL38" s="16" t="s">
        <v>219</v>
      </c>
      <c r="AM38" s="16" t="s">
        <v>70</v>
      </c>
      <c r="AN38" s="16" t="s">
        <v>91</v>
      </c>
      <c r="AO38" s="16" t="s">
        <v>190</v>
      </c>
      <c r="AP38" s="16" t="s">
        <v>219</v>
      </c>
      <c r="AQ38" s="16" t="s">
        <v>70</v>
      </c>
    </row>
    <row r="39" spans="1:43" s="16" customFormat="1" ht="24" customHeight="1" x14ac:dyDescent="0.25">
      <c r="A39" s="16" t="s">
        <v>91</v>
      </c>
      <c r="B39" s="16" t="s">
        <v>91</v>
      </c>
      <c r="C39" s="17" t="s">
        <v>156</v>
      </c>
      <c r="F39" s="17"/>
      <c r="R39" s="16" t="s">
        <v>217</v>
      </c>
      <c r="S39" s="16" t="s">
        <v>217</v>
      </c>
      <c r="T39" s="17" t="s">
        <v>218</v>
      </c>
      <c r="U39" s="16" t="s">
        <v>553</v>
      </c>
      <c r="V39" s="16" t="s">
        <v>553</v>
      </c>
      <c r="W39" s="17" t="s">
        <v>552</v>
      </c>
      <c r="X39" s="16">
        <v>4</v>
      </c>
      <c r="Y39" s="16" t="s">
        <v>583</v>
      </c>
      <c r="AA39" s="16" t="s">
        <v>555</v>
      </c>
      <c r="AC39" s="16" t="s">
        <v>114</v>
      </c>
      <c r="AF39" s="16">
        <f>COUNTIF($AE$2:$AE$250,AE39)</f>
        <v>0</v>
      </c>
      <c r="AH39" s="17"/>
    </row>
    <row r="40" spans="1:43" s="16" customFormat="1" ht="24" customHeight="1" x14ac:dyDescent="0.25">
      <c r="A40" s="16" t="s">
        <v>91</v>
      </c>
      <c r="B40" s="16" t="s">
        <v>91</v>
      </c>
      <c r="C40" s="17" t="s">
        <v>156</v>
      </c>
      <c r="F40" s="17"/>
      <c r="R40" s="16" t="s">
        <v>217</v>
      </c>
      <c r="S40" s="16" t="s">
        <v>217</v>
      </c>
      <c r="T40" s="17" t="s">
        <v>218</v>
      </c>
      <c r="U40" s="16" t="s">
        <v>228</v>
      </c>
      <c r="V40" s="17" t="s">
        <v>228</v>
      </c>
      <c r="W40" s="16" t="s">
        <v>554</v>
      </c>
      <c r="X40" s="16">
        <v>5</v>
      </c>
      <c r="Y40" s="16" t="s">
        <v>583</v>
      </c>
      <c r="AC40" s="16" t="s">
        <v>114</v>
      </c>
      <c r="AF40" s="16">
        <f>COUNTIF($AE$2:$AE$250,AE40)</f>
        <v>0</v>
      </c>
      <c r="AH40" s="17"/>
    </row>
    <row r="41" spans="1:43" s="16" customFormat="1" ht="24" customHeight="1" x14ac:dyDescent="0.25">
      <c r="A41" s="16" t="s">
        <v>91</v>
      </c>
      <c r="B41" s="16" t="s">
        <v>91</v>
      </c>
      <c r="C41" s="17" t="s">
        <v>156</v>
      </c>
      <c r="F41" s="17"/>
      <c r="R41" s="16" t="s">
        <v>217</v>
      </c>
      <c r="S41" s="16" t="s">
        <v>217</v>
      </c>
      <c r="T41" s="17" t="s">
        <v>218</v>
      </c>
      <c r="U41" s="16" t="s">
        <v>220</v>
      </c>
      <c r="V41" s="17" t="s">
        <v>220</v>
      </c>
      <c r="W41" s="17"/>
      <c r="X41" s="16">
        <v>6</v>
      </c>
      <c r="Y41" s="16" t="s">
        <v>583</v>
      </c>
      <c r="AC41" s="16" t="s">
        <v>114</v>
      </c>
      <c r="AF41" s="16">
        <f>COUNTIF($AE$2:$AE$250,AE41)</f>
        <v>0</v>
      </c>
      <c r="AH41" s="17"/>
    </row>
    <row r="42" spans="1:43" s="16" customFormat="1" ht="24" customHeight="1" x14ac:dyDescent="0.25">
      <c r="A42" s="16" t="s">
        <v>91</v>
      </c>
      <c r="B42" s="16" t="s">
        <v>91</v>
      </c>
      <c r="C42" s="17" t="s">
        <v>156</v>
      </c>
      <c r="F42" s="17"/>
      <c r="R42" s="16" t="s">
        <v>217</v>
      </c>
      <c r="S42" s="16" t="s">
        <v>217</v>
      </c>
      <c r="T42" s="17" t="s">
        <v>218</v>
      </c>
      <c r="U42" s="16" t="s">
        <v>221</v>
      </c>
      <c r="V42" s="17" t="s">
        <v>221</v>
      </c>
      <c r="W42" s="17"/>
      <c r="X42" s="16">
        <v>7</v>
      </c>
      <c r="Y42" s="16" t="s">
        <v>583</v>
      </c>
      <c r="AC42" s="16" t="s">
        <v>114</v>
      </c>
      <c r="AF42" s="16">
        <f>COUNTIF($AE$2:$AE$250,AE42)</f>
        <v>0</v>
      </c>
      <c r="AH42" s="17"/>
    </row>
    <row r="43" spans="1:43" s="16" customFormat="1" ht="24" customHeight="1" x14ac:dyDescent="0.25">
      <c r="A43" s="16" t="s">
        <v>91</v>
      </c>
      <c r="B43" s="16" t="s">
        <v>91</v>
      </c>
      <c r="C43" s="17" t="s">
        <v>156</v>
      </c>
      <c r="F43" s="17"/>
      <c r="R43" s="16" t="s">
        <v>217</v>
      </c>
      <c r="S43" s="16" t="s">
        <v>217</v>
      </c>
      <c r="T43" s="17" t="s">
        <v>218</v>
      </c>
      <c r="U43" s="16" t="s">
        <v>222</v>
      </c>
      <c r="V43" s="17" t="s">
        <v>222</v>
      </c>
      <c r="W43" s="17"/>
      <c r="X43" s="16">
        <v>8</v>
      </c>
      <c r="Y43" s="16" t="s">
        <v>583</v>
      </c>
      <c r="AC43" s="16" t="s">
        <v>114</v>
      </c>
      <c r="AF43" s="16">
        <f>COUNTIF($AE$2:$AE$250,AE43)</f>
        <v>0</v>
      </c>
      <c r="AH43" s="17"/>
    </row>
    <row r="44" spans="1:43" s="16" customFormat="1" ht="24" customHeight="1" x14ac:dyDescent="0.25">
      <c r="A44" s="16" t="s">
        <v>91</v>
      </c>
      <c r="B44" s="16" t="s">
        <v>91</v>
      </c>
      <c r="C44" s="17" t="s">
        <v>156</v>
      </c>
      <c r="F44" s="17"/>
      <c r="R44" s="16" t="s">
        <v>217</v>
      </c>
      <c r="S44" s="16" t="s">
        <v>217</v>
      </c>
      <c r="T44" s="17" t="s">
        <v>218</v>
      </c>
      <c r="U44" s="16" t="s">
        <v>223</v>
      </c>
      <c r="V44" s="17" t="s">
        <v>223</v>
      </c>
      <c r="W44" s="17" t="s">
        <v>547</v>
      </c>
      <c r="X44" s="16">
        <v>9</v>
      </c>
      <c r="Y44" s="16" t="s">
        <v>548</v>
      </c>
      <c r="AC44" s="16" t="s">
        <v>114</v>
      </c>
      <c r="AF44" s="16">
        <f>COUNTIF($AE$2:$AE$250,AE44)</f>
        <v>0</v>
      </c>
      <c r="AH44" s="17"/>
    </row>
    <row r="45" spans="1:43" s="16" customFormat="1" ht="24" customHeight="1" x14ac:dyDescent="0.25">
      <c r="A45" s="16" t="s">
        <v>91</v>
      </c>
      <c r="B45" s="16" t="s">
        <v>91</v>
      </c>
      <c r="C45" s="17" t="s">
        <v>156</v>
      </c>
      <c r="F45" s="17"/>
      <c r="R45" s="16" t="s">
        <v>217</v>
      </c>
      <c r="S45" s="16" t="s">
        <v>217</v>
      </c>
      <c r="T45" s="17" t="s">
        <v>218</v>
      </c>
      <c r="U45" s="16" t="s">
        <v>224</v>
      </c>
      <c r="V45" s="17" t="s">
        <v>224</v>
      </c>
      <c r="W45" s="17" t="s">
        <v>549</v>
      </c>
      <c r="X45" s="16">
        <v>10</v>
      </c>
      <c r="Y45" s="16" t="s">
        <v>583</v>
      </c>
      <c r="AC45" s="16" t="s">
        <v>114</v>
      </c>
      <c r="AF45" s="16">
        <f>COUNTIF($AE$2:$AE$250,AE45)</f>
        <v>0</v>
      </c>
      <c r="AH45" s="17"/>
    </row>
    <row r="46" spans="1:43" s="16" customFormat="1" ht="24" customHeight="1" x14ac:dyDescent="0.25">
      <c r="A46" s="16" t="s">
        <v>91</v>
      </c>
      <c r="B46" s="16" t="s">
        <v>91</v>
      </c>
      <c r="C46" s="17" t="s">
        <v>156</v>
      </c>
      <c r="F46" s="17"/>
      <c r="R46" s="16" t="s">
        <v>217</v>
      </c>
      <c r="S46" s="16" t="s">
        <v>217</v>
      </c>
      <c r="T46" s="17" t="s">
        <v>218</v>
      </c>
      <c r="U46" s="16" t="s">
        <v>225</v>
      </c>
      <c r="V46" s="17" t="s">
        <v>225</v>
      </c>
      <c r="W46" s="17" t="s">
        <v>550</v>
      </c>
      <c r="X46" s="16">
        <v>11</v>
      </c>
      <c r="Y46" s="16" t="s">
        <v>583</v>
      </c>
      <c r="AC46" s="16" t="s">
        <v>114</v>
      </c>
      <c r="AF46" s="16">
        <f>COUNTIF($AE$2:$AE$250,AE46)</f>
        <v>0</v>
      </c>
      <c r="AH46" s="17"/>
    </row>
    <row r="47" spans="1:43" s="16" customFormat="1" ht="24" customHeight="1" x14ac:dyDescent="0.25">
      <c r="A47" s="16" t="s">
        <v>91</v>
      </c>
      <c r="B47" s="16" t="s">
        <v>91</v>
      </c>
      <c r="C47" s="17" t="s">
        <v>156</v>
      </c>
      <c r="F47" s="17"/>
      <c r="R47" s="16" t="s">
        <v>217</v>
      </c>
      <c r="S47" s="16" t="s">
        <v>217</v>
      </c>
      <c r="T47" s="17" t="s">
        <v>218</v>
      </c>
      <c r="U47" s="16" t="s">
        <v>226</v>
      </c>
      <c r="V47" s="17" t="s">
        <v>226</v>
      </c>
      <c r="W47" s="17" t="s">
        <v>551</v>
      </c>
      <c r="X47" s="16">
        <v>12</v>
      </c>
      <c r="Y47" s="16" t="s">
        <v>583</v>
      </c>
      <c r="AC47" s="16" t="s">
        <v>114</v>
      </c>
      <c r="AF47" s="16">
        <f>COUNTIF($AE$2:$AE$250,AE47)</f>
        <v>0</v>
      </c>
      <c r="AH47" s="17"/>
    </row>
    <row r="48" spans="1:43" s="16" customFormat="1" ht="24" customHeight="1" x14ac:dyDescent="0.25">
      <c r="A48" s="16" t="s">
        <v>91</v>
      </c>
      <c r="B48" s="16" t="s">
        <v>91</v>
      </c>
      <c r="C48" s="17" t="s">
        <v>156</v>
      </c>
      <c r="D48" s="16" t="s">
        <v>100</v>
      </c>
      <c r="E48" s="16" t="s">
        <v>100</v>
      </c>
      <c r="F48" s="17" t="s">
        <v>101</v>
      </c>
      <c r="G48" s="16" t="s">
        <v>89</v>
      </c>
      <c r="R48" s="16" t="s">
        <v>41</v>
      </c>
      <c r="S48" s="16" t="s">
        <v>42</v>
      </c>
      <c r="T48" s="17" t="s">
        <v>43</v>
      </c>
      <c r="U48" s="16" t="s">
        <v>290</v>
      </c>
      <c r="V48" s="17" t="s">
        <v>290</v>
      </c>
      <c r="X48" s="16">
        <v>0</v>
      </c>
      <c r="Y48" s="16" t="s">
        <v>230</v>
      </c>
      <c r="AC48" s="16" t="s">
        <v>722</v>
      </c>
      <c r="AD48" s="16" t="s">
        <v>114</v>
      </c>
      <c r="AF48" s="16">
        <f>COUNTIF($AE$2:$AE$250,AE48)</f>
        <v>0</v>
      </c>
      <c r="AH48" s="17"/>
    </row>
    <row r="49" spans="1:43" s="16" customFormat="1" ht="24" customHeight="1" x14ac:dyDescent="0.25">
      <c r="A49" s="16" t="s">
        <v>91</v>
      </c>
      <c r="B49" s="16" t="s">
        <v>91</v>
      </c>
      <c r="C49" s="17" t="s">
        <v>156</v>
      </c>
      <c r="D49" s="16" t="s">
        <v>100</v>
      </c>
      <c r="E49" s="16" t="s">
        <v>100</v>
      </c>
      <c r="F49" s="17" t="s">
        <v>101</v>
      </c>
      <c r="G49" s="16" t="s">
        <v>89</v>
      </c>
      <c r="R49" s="16" t="s">
        <v>41</v>
      </c>
      <c r="S49" s="16" t="s">
        <v>42</v>
      </c>
      <c r="T49" s="17" t="s">
        <v>43</v>
      </c>
      <c r="U49" s="16" t="s">
        <v>291</v>
      </c>
      <c r="V49" s="17" t="s">
        <v>291</v>
      </c>
      <c r="W49" s="17" t="s">
        <v>568</v>
      </c>
      <c r="X49" s="16">
        <v>1</v>
      </c>
      <c r="Y49" s="16" t="s">
        <v>583</v>
      </c>
      <c r="AC49" s="16" t="s">
        <v>722</v>
      </c>
      <c r="AF49" s="16">
        <f>COUNTIF($AE$2:$AE$250,AE49)</f>
        <v>0</v>
      </c>
      <c r="AH49" s="17"/>
    </row>
    <row r="50" spans="1:43" s="16" customFormat="1" ht="24" customHeight="1" x14ac:dyDescent="0.25">
      <c r="A50" s="16" t="s">
        <v>91</v>
      </c>
      <c r="B50" s="16" t="s">
        <v>91</v>
      </c>
      <c r="C50" s="17" t="s">
        <v>156</v>
      </c>
      <c r="D50" s="16" t="s">
        <v>100</v>
      </c>
      <c r="E50" s="16" t="s">
        <v>100</v>
      </c>
      <c r="F50" s="17" t="s">
        <v>101</v>
      </c>
      <c r="G50" s="16" t="s">
        <v>89</v>
      </c>
      <c r="R50" s="16" t="s">
        <v>41</v>
      </c>
      <c r="S50" s="16" t="s">
        <v>42</v>
      </c>
      <c r="T50" s="17" t="s">
        <v>43</v>
      </c>
      <c r="U50" s="16" t="s">
        <v>292</v>
      </c>
      <c r="V50" s="17" t="s">
        <v>292</v>
      </c>
      <c r="W50" s="17"/>
      <c r="X50" s="16">
        <v>2</v>
      </c>
      <c r="Y50" s="16" t="s">
        <v>230</v>
      </c>
      <c r="AC50" s="16" t="s">
        <v>722</v>
      </c>
      <c r="AE50" s="16" t="s">
        <v>292</v>
      </c>
      <c r="AF50" s="16">
        <f>COUNTIF($AE$2:$AE$250,AE50)</f>
        <v>1</v>
      </c>
      <c r="AG50" s="16" t="s">
        <v>292</v>
      </c>
      <c r="AH50" s="17" t="s">
        <v>247</v>
      </c>
      <c r="AI50" s="16" t="s">
        <v>158</v>
      </c>
      <c r="AJ50" s="16" t="s">
        <v>91</v>
      </c>
      <c r="AK50" s="16" t="s">
        <v>41</v>
      </c>
      <c r="AL50" s="16" t="s">
        <v>292</v>
      </c>
      <c r="AM50" s="16" t="s">
        <v>70</v>
      </c>
      <c r="AN50" s="16" t="s">
        <v>91</v>
      </c>
      <c r="AO50" s="16" t="s">
        <v>217</v>
      </c>
      <c r="AP50" s="16" t="s">
        <v>229</v>
      </c>
      <c r="AQ50" s="16" t="s">
        <v>70</v>
      </c>
    </row>
    <row r="51" spans="1:43" s="16" customFormat="1" ht="24" customHeight="1" x14ac:dyDescent="0.25">
      <c r="A51" s="16" t="s">
        <v>91</v>
      </c>
      <c r="B51" s="16" t="s">
        <v>91</v>
      </c>
      <c r="C51" s="17" t="s">
        <v>156</v>
      </c>
      <c r="D51" s="16" t="s">
        <v>100</v>
      </c>
      <c r="E51" s="16" t="s">
        <v>100</v>
      </c>
      <c r="F51" s="17" t="s">
        <v>101</v>
      </c>
      <c r="G51" s="16" t="s">
        <v>89</v>
      </c>
      <c r="R51" s="16" t="s">
        <v>41</v>
      </c>
      <c r="S51" s="16" t="s">
        <v>42</v>
      </c>
      <c r="T51" s="17" t="s">
        <v>43</v>
      </c>
      <c r="U51" s="16" t="s">
        <v>567</v>
      </c>
      <c r="V51" s="16" t="s">
        <v>567</v>
      </c>
      <c r="W51" s="16" t="s">
        <v>567</v>
      </c>
      <c r="X51" s="16">
        <v>3</v>
      </c>
      <c r="Y51" s="16" t="s">
        <v>339</v>
      </c>
      <c r="AC51" s="16" t="s">
        <v>722</v>
      </c>
      <c r="AF51" s="16">
        <f>COUNTIF($AE$2:$AE$250,AE51)</f>
        <v>0</v>
      </c>
      <c r="AH51" s="17"/>
    </row>
    <row r="52" spans="1:43" s="16" customFormat="1" ht="24" customHeight="1" x14ac:dyDescent="0.25">
      <c r="A52" s="16" t="s">
        <v>91</v>
      </c>
      <c r="B52" s="16" t="s">
        <v>91</v>
      </c>
      <c r="C52" s="17" t="s">
        <v>156</v>
      </c>
      <c r="D52" s="16" t="s">
        <v>100</v>
      </c>
      <c r="E52" s="16" t="s">
        <v>100</v>
      </c>
      <c r="F52" s="17" t="s">
        <v>101</v>
      </c>
      <c r="G52" s="16" t="s">
        <v>89</v>
      </c>
      <c r="R52" s="16" t="s">
        <v>41</v>
      </c>
      <c r="S52" s="16" t="s">
        <v>42</v>
      </c>
      <c r="T52" s="17" t="s">
        <v>43</v>
      </c>
      <c r="U52" s="16" t="s">
        <v>598</v>
      </c>
      <c r="V52" s="16" t="s">
        <v>598</v>
      </c>
      <c r="W52" s="17" t="s">
        <v>599</v>
      </c>
      <c r="X52" s="16">
        <v>4</v>
      </c>
      <c r="Y52" s="16" t="s">
        <v>583</v>
      </c>
      <c r="AB52" s="16" t="s">
        <v>597</v>
      </c>
      <c r="AC52" s="16" t="s">
        <v>722</v>
      </c>
      <c r="AF52" s="16">
        <f>COUNTIF($AE$2:$AE$250,AE52)</f>
        <v>0</v>
      </c>
      <c r="AH52" s="17"/>
    </row>
    <row r="53" spans="1:43" s="16" customFormat="1" ht="24" customHeight="1" x14ac:dyDescent="0.25">
      <c r="A53" s="16" t="s">
        <v>91</v>
      </c>
      <c r="B53" s="16" t="s">
        <v>91</v>
      </c>
      <c r="C53" s="17" t="s">
        <v>156</v>
      </c>
      <c r="D53" s="16" t="s">
        <v>40</v>
      </c>
      <c r="E53" s="16" t="s">
        <v>40</v>
      </c>
      <c r="F53" s="17" t="s">
        <v>99</v>
      </c>
      <c r="G53" s="16" t="s">
        <v>89</v>
      </c>
      <c r="R53" s="16" t="s">
        <v>600</v>
      </c>
      <c r="S53" s="16" t="s">
        <v>600</v>
      </c>
      <c r="T53" s="17" t="s">
        <v>635</v>
      </c>
      <c r="U53" s="16" t="s">
        <v>601</v>
      </c>
      <c r="V53" s="16" t="s">
        <v>601</v>
      </c>
      <c r="W53" s="17"/>
      <c r="X53" s="16">
        <v>0</v>
      </c>
      <c r="Y53" s="16" t="s">
        <v>230</v>
      </c>
      <c r="AC53" s="16" t="s">
        <v>722</v>
      </c>
      <c r="AD53" s="16" t="s">
        <v>114</v>
      </c>
      <c r="AF53" s="16">
        <f>COUNTIF($AE$2:$AE$250,AE53)</f>
        <v>0</v>
      </c>
      <c r="AH53" s="17"/>
    </row>
    <row r="54" spans="1:43" s="16" customFormat="1" ht="24" customHeight="1" x14ac:dyDescent="0.25">
      <c r="A54" s="16" t="s">
        <v>91</v>
      </c>
      <c r="B54" s="16" t="s">
        <v>91</v>
      </c>
      <c r="C54" s="17" t="s">
        <v>156</v>
      </c>
      <c r="D54" s="16" t="s">
        <v>40</v>
      </c>
      <c r="E54" s="16" t="s">
        <v>40</v>
      </c>
      <c r="F54" s="17" t="s">
        <v>99</v>
      </c>
      <c r="G54" s="16" t="s">
        <v>89</v>
      </c>
      <c r="R54" s="16" t="s">
        <v>600</v>
      </c>
      <c r="S54" s="16" t="s">
        <v>600</v>
      </c>
      <c r="T54" s="17" t="s">
        <v>635</v>
      </c>
      <c r="U54" s="16" t="s">
        <v>357</v>
      </c>
      <c r="V54" s="17" t="s">
        <v>357</v>
      </c>
      <c r="W54" s="17"/>
      <c r="X54" s="16">
        <v>1</v>
      </c>
      <c r="Y54" s="16" t="s">
        <v>230</v>
      </c>
      <c r="AC54" s="16" t="s">
        <v>722</v>
      </c>
      <c r="AE54" s="16" t="s">
        <v>321</v>
      </c>
      <c r="AF54" s="16">
        <f>COUNTIF($AE$2:$AE$250,AE54)</f>
        <v>1</v>
      </c>
      <c r="AG54" s="16" t="s">
        <v>321</v>
      </c>
      <c r="AH54" s="17"/>
      <c r="AI54" s="16" t="s">
        <v>158</v>
      </c>
      <c r="AJ54" s="16" t="s">
        <v>91</v>
      </c>
      <c r="AK54" s="16" t="s">
        <v>600</v>
      </c>
      <c r="AL54" s="16" t="s">
        <v>357</v>
      </c>
      <c r="AM54" s="16" t="s">
        <v>69</v>
      </c>
      <c r="AN54" s="16" t="s">
        <v>91</v>
      </c>
      <c r="AO54" s="16" t="s">
        <v>351</v>
      </c>
      <c r="AP54" s="16" t="s">
        <v>357</v>
      </c>
      <c r="AQ54" s="16" t="s">
        <v>70</v>
      </c>
    </row>
    <row r="55" spans="1:43" s="16" customFormat="1" ht="24" customHeight="1" x14ac:dyDescent="0.25">
      <c r="A55" s="16" t="s">
        <v>91</v>
      </c>
      <c r="B55" s="16" t="s">
        <v>91</v>
      </c>
      <c r="C55" s="17" t="s">
        <v>156</v>
      </c>
      <c r="D55" s="16" t="s">
        <v>40</v>
      </c>
      <c r="E55" s="16" t="s">
        <v>40</v>
      </c>
      <c r="F55" s="17" t="s">
        <v>99</v>
      </c>
      <c r="G55" s="16" t="s">
        <v>89</v>
      </c>
      <c r="R55" s="16" t="s">
        <v>600</v>
      </c>
      <c r="S55" s="16" t="s">
        <v>600</v>
      </c>
      <c r="T55" s="17" t="s">
        <v>635</v>
      </c>
      <c r="U55" s="16" t="s">
        <v>290</v>
      </c>
      <c r="V55" s="17" t="s">
        <v>290</v>
      </c>
      <c r="W55" s="17"/>
      <c r="X55" s="16">
        <v>2</v>
      </c>
      <c r="Y55" s="16" t="s">
        <v>230</v>
      </c>
      <c r="AC55" s="16" t="s">
        <v>722</v>
      </c>
      <c r="AE55" s="16" t="s">
        <v>294</v>
      </c>
      <c r="AF55" s="16">
        <f>COUNTIF($AE$2:$AE$250,AE55)</f>
        <v>1</v>
      </c>
      <c r="AG55" s="16" t="s">
        <v>294</v>
      </c>
      <c r="AH55" s="17"/>
      <c r="AI55" s="16" t="s">
        <v>158</v>
      </c>
      <c r="AJ55" s="16" t="s">
        <v>91</v>
      </c>
      <c r="AK55" s="16" t="s">
        <v>600</v>
      </c>
      <c r="AL55" s="16" t="s">
        <v>290</v>
      </c>
      <c r="AM55" s="16" t="s">
        <v>69</v>
      </c>
      <c r="AN55" s="16" t="s">
        <v>91</v>
      </c>
      <c r="AO55" s="16" t="s">
        <v>41</v>
      </c>
      <c r="AP55" s="16" t="s">
        <v>290</v>
      </c>
      <c r="AQ55" s="16" t="s">
        <v>70</v>
      </c>
    </row>
    <row r="56" spans="1:43" s="16" customFormat="1" ht="24" customHeight="1" x14ac:dyDescent="0.25">
      <c r="A56" s="16" t="s">
        <v>91</v>
      </c>
      <c r="B56" s="16" t="s">
        <v>91</v>
      </c>
      <c r="C56" s="17" t="s">
        <v>156</v>
      </c>
      <c r="D56" s="16" t="s">
        <v>40</v>
      </c>
      <c r="E56" s="16" t="s">
        <v>40</v>
      </c>
      <c r="F56" s="17" t="s">
        <v>99</v>
      </c>
      <c r="G56" s="16" t="s">
        <v>89</v>
      </c>
      <c r="R56" s="16" t="s">
        <v>122</v>
      </c>
      <c r="S56" s="16" t="s">
        <v>123</v>
      </c>
      <c r="T56" s="17" t="s">
        <v>44</v>
      </c>
      <c r="U56" s="16" t="s">
        <v>124</v>
      </c>
      <c r="V56" s="17" t="s">
        <v>126</v>
      </c>
      <c r="W56" s="17" t="s">
        <v>121</v>
      </c>
      <c r="X56" s="16">
        <v>0</v>
      </c>
      <c r="Y56" s="16" t="s">
        <v>230</v>
      </c>
      <c r="AC56" s="16" t="s">
        <v>722</v>
      </c>
      <c r="AD56" s="16" t="s">
        <v>114</v>
      </c>
      <c r="AF56" s="16">
        <f>COUNTIF($AE$2:$AE$250,AE56)</f>
        <v>0</v>
      </c>
      <c r="AH56" s="17"/>
    </row>
    <row r="57" spans="1:43" s="16" customFormat="1" ht="24" customHeight="1" x14ac:dyDescent="0.25">
      <c r="A57" s="16" t="s">
        <v>91</v>
      </c>
      <c r="B57" s="16" t="s">
        <v>91</v>
      </c>
      <c r="C57" s="17" t="s">
        <v>156</v>
      </c>
      <c r="D57" s="16" t="s">
        <v>40</v>
      </c>
      <c r="E57" s="16" t="s">
        <v>40</v>
      </c>
      <c r="F57" s="17" t="s">
        <v>99</v>
      </c>
      <c r="G57" s="16" t="s">
        <v>89</v>
      </c>
      <c r="R57" s="16" t="s">
        <v>122</v>
      </c>
      <c r="S57" s="16" t="s">
        <v>123</v>
      </c>
      <c r="T57" s="17" t="s">
        <v>44</v>
      </c>
      <c r="U57" s="16" t="s">
        <v>125</v>
      </c>
      <c r="V57" s="17" t="s">
        <v>127</v>
      </c>
      <c r="W57" s="17" t="s">
        <v>128</v>
      </c>
      <c r="X57" s="16">
        <v>1</v>
      </c>
      <c r="Y57" s="16" t="s">
        <v>230</v>
      </c>
      <c r="AC57" s="16" t="s">
        <v>114</v>
      </c>
      <c r="AE57" s="16" t="s">
        <v>708</v>
      </c>
      <c r="AF57" s="16">
        <f>COUNTIF($AE$2:$AE$250,AE57)</f>
        <v>1</v>
      </c>
      <c r="AG57" s="16" t="s">
        <v>708</v>
      </c>
      <c r="AH57" s="17"/>
      <c r="AI57" s="16" t="s">
        <v>158</v>
      </c>
      <c r="AJ57" s="16" t="s">
        <v>91</v>
      </c>
      <c r="AK57" s="16" t="s">
        <v>122</v>
      </c>
      <c r="AL57" s="16" t="s">
        <v>125</v>
      </c>
      <c r="AM57" s="16" t="s">
        <v>70</v>
      </c>
      <c r="AN57" s="16" t="s">
        <v>91</v>
      </c>
      <c r="AO57" s="16" t="s">
        <v>122</v>
      </c>
      <c r="AP57" s="16" t="s">
        <v>124</v>
      </c>
      <c r="AQ57" s="16" t="s">
        <v>70</v>
      </c>
    </row>
    <row r="58" spans="1:43" s="16" customFormat="1" ht="24" customHeight="1" x14ac:dyDescent="0.25">
      <c r="A58" s="16" t="s">
        <v>91</v>
      </c>
      <c r="B58" s="16" t="s">
        <v>91</v>
      </c>
      <c r="C58" s="17" t="s">
        <v>156</v>
      </c>
      <c r="D58" s="16" t="s">
        <v>40</v>
      </c>
      <c r="E58" s="16" t="s">
        <v>40</v>
      </c>
      <c r="F58" s="17" t="s">
        <v>99</v>
      </c>
      <c r="G58" s="16" t="s">
        <v>89</v>
      </c>
      <c r="R58" s="16" t="s">
        <v>122</v>
      </c>
      <c r="S58" s="16" t="s">
        <v>123</v>
      </c>
      <c r="T58" s="17" t="s">
        <v>44</v>
      </c>
      <c r="U58" s="16" t="s">
        <v>290</v>
      </c>
      <c r="V58" s="17" t="s">
        <v>290</v>
      </c>
      <c r="W58" s="17" t="s">
        <v>295</v>
      </c>
      <c r="X58" s="16">
        <v>2</v>
      </c>
      <c r="Y58" s="16" t="s">
        <v>230</v>
      </c>
      <c r="AC58" s="16" t="s">
        <v>722</v>
      </c>
      <c r="AE58" s="16" t="s">
        <v>296</v>
      </c>
      <c r="AF58" s="16">
        <f>COUNTIF($AE$2:$AE$250,AE58)</f>
        <v>1</v>
      </c>
      <c r="AG58" s="16" t="s">
        <v>296</v>
      </c>
      <c r="AH58" s="17"/>
      <c r="AI58" s="16" t="s">
        <v>158</v>
      </c>
      <c r="AJ58" s="16" t="s">
        <v>91</v>
      </c>
      <c r="AK58" s="16" t="s">
        <v>122</v>
      </c>
      <c r="AL58" s="16" t="s">
        <v>290</v>
      </c>
      <c r="AM58" s="16" t="s">
        <v>69</v>
      </c>
      <c r="AN58" s="16" t="s">
        <v>91</v>
      </c>
      <c r="AO58" s="16" t="s">
        <v>41</v>
      </c>
      <c r="AP58" s="16" t="s">
        <v>290</v>
      </c>
      <c r="AQ58" s="16" t="s">
        <v>70</v>
      </c>
    </row>
    <row r="59" spans="1:43" s="16" customFormat="1" ht="24" customHeight="1" x14ac:dyDescent="0.25">
      <c r="A59" s="16" t="s">
        <v>91</v>
      </c>
      <c r="B59" s="16" t="s">
        <v>91</v>
      </c>
      <c r="C59" s="17" t="s">
        <v>156</v>
      </c>
      <c r="D59" s="16" t="s">
        <v>40</v>
      </c>
      <c r="E59" s="16" t="s">
        <v>40</v>
      </c>
      <c r="F59" s="17" t="s">
        <v>99</v>
      </c>
      <c r="G59" s="16" t="s">
        <v>89</v>
      </c>
      <c r="R59" s="16" t="s">
        <v>122</v>
      </c>
      <c r="S59" s="16" t="s">
        <v>123</v>
      </c>
      <c r="T59" s="17" t="s">
        <v>44</v>
      </c>
      <c r="U59" s="16" t="s">
        <v>143</v>
      </c>
      <c r="V59" s="16" t="s">
        <v>143</v>
      </c>
      <c r="W59" s="17"/>
      <c r="X59" s="16">
        <v>3</v>
      </c>
      <c r="Y59" s="16" t="s">
        <v>143</v>
      </c>
      <c r="AC59" s="16" t="s">
        <v>722</v>
      </c>
      <c r="AF59" s="16">
        <f>COUNTIF($AE$2:$AE$250,AE59)</f>
        <v>0</v>
      </c>
      <c r="AH59" s="17"/>
    </row>
    <row r="60" spans="1:43" s="16" customFormat="1" ht="24" customHeight="1" x14ac:dyDescent="0.25">
      <c r="A60" s="16" t="s">
        <v>91</v>
      </c>
      <c r="B60" s="16" t="s">
        <v>91</v>
      </c>
      <c r="C60" s="17" t="s">
        <v>156</v>
      </c>
      <c r="D60" s="16" t="s">
        <v>100</v>
      </c>
      <c r="E60" s="16" t="s">
        <v>100</v>
      </c>
      <c r="F60" s="17" t="s">
        <v>101</v>
      </c>
      <c r="G60" s="16" t="s">
        <v>89</v>
      </c>
      <c r="R60" s="16" t="s">
        <v>45</v>
      </c>
      <c r="S60" s="16" t="s">
        <v>46</v>
      </c>
      <c r="T60" s="17" t="s">
        <v>47</v>
      </c>
      <c r="V60" s="17"/>
      <c r="W60" s="17"/>
      <c r="AF60" s="16">
        <f>COUNTIF($AE$2:$AE$250,AE60)</f>
        <v>0</v>
      </c>
      <c r="AH60" s="17"/>
    </row>
    <row r="61" spans="1:43" s="16" customFormat="1" ht="24" customHeight="1" x14ac:dyDescent="0.25">
      <c r="A61" s="16" t="s">
        <v>91</v>
      </c>
      <c r="B61" s="16" t="s">
        <v>91</v>
      </c>
      <c r="C61" s="17" t="s">
        <v>156</v>
      </c>
      <c r="D61" s="16" t="s">
        <v>100</v>
      </c>
      <c r="E61" s="16" t="s">
        <v>100</v>
      </c>
      <c r="F61" s="17" t="s">
        <v>101</v>
      </c>
      <c r="G61" s="16" t="s">
        <v>89</v>
      </c>
      <c r="R61" s="16" t="s">
        <v>48</v>
      </c>
      <c r="S61" s="16" t="s">
        <v>49</v>
      </c>
      <c r="T61" s="17" t="s">
        <v>50</v>
      </c>
      <c r="V61" s="17"/>
      <c r="W61" s="17"/>
      <c r="AF61" s="16">
        <f>COUNTIF($AE$2:$AE$250,AE61)</f>
        <v>0</v>
      </c>
      <c r="AH61" s="17"/>
    </row>
    <row r="62" spans="1:43" s="16" customFormat="1" ht="24" customHeight="1" x14ac:dyDescent="0.25">
      <c r="A62" s="16" t="s">
        <v>91</v>
      </c>
      <c r="B62" s="16" t="s">
        <v>91</v>
      </c>
      <c r="C62" s="17" t="s">
        <v>156</v>
      </c>
      <c r="D62" s="16" t="s">
        <v>100</v>
      </c>
      <c r="E62" s="16" t="s">
        <v>100</v>
      </c>
      <c r="F62" s="17" t="s">
        <v>101</v>
      </c>
      <c r="G62" s="16" t="s">
        <v>89</v>
      </c>
      <c r="R62" s="16" t="s">
        <v>51</v>
      </c>
      <c r="S62" s="16" t="s">
        <v>51</v>
      </c>
      <c r="T62" s="17" t="s">
        <v>52</v>
      </c>
      <c r="U62" s="16" t="s">
        <v>130</v>
      </c>
      <c r="V62" s="17" t="s">
        <v>130</v>
      </c>
      <c r="W62" s="17"/>
      <c r="X62" s="16">
        <v>0</v>
      </c>
      <c r="Y62" s="16" t="s">
        <v>143</v>
      </c>
      <c r="AF62" s="16">
        <f>COUNTIF($AE$2:$AE$250,AE62)</f>
        <v>0</v>
      </c>
      <c r="AH62" s="17"/>
    </row>
    <row r="63" spans="1:43" s="16" customFormat="1" ht="24" customHeight="1" x14ac:dyDescent="0.25">
      <c r="A63" s="16" t="s">
        <v>91</v>
      </c>
      <c r="B63" s="16" t="s">
        <v>91</v>
      </c>
      <c r="C63" s="17" t="s">
        <v>156</v>
      </c>
      <c r="D63" s="16" t="s">
        <v>100</v>
      </c>
      <c r="E63" s="16" t="s">
        <v>100</v>
      </c>
      <c r="F63" s="17" t="s">
        <v>101</v>
      </c>
      <c r="G63" s="16" t="s">
        <v>89</v>
      </c>
      <c r="R63" s="16" t="s">
        <v>51</v>
      </c>
      <c r="S63" s="16" t="s">
        <v>51</v>
      </c>
      <c r="T63" s="17" t="s">
        <v>52</v>
      </c>
      <c r="U63" s="16" t="s">
        <v>131</v>
      </c>
      <c r="V63" s="17" t="s">
        <v>131</v>
      </c>
      <c r="W63" s="17"/>
      <c r="X63" s="16">
        <v>1</v>
      </c>
      <c r="Y63" s="16" t="s">
        <v>143</v>
      </c>
      <c r="AF63" s="16">
        <f>COUNTIF($AE$2:$AE$250,AE63)</f>
        <v>0</v>
      </c>
      <c r="AH63" s="17"/>
    </row>
    <row r="64" spans="1:43" s="16" customFormat="1" ht="24" customHeight="1" x14ac:dyDescent="0.25">
      <c r="A64" s="16" t="s">
        <v>91</v>
      </c>
      <c r="B64" s="16" t="s">
        <v>91</v>
      </c>
      <c r="C64" s="17" t="s">
        <v>156</v>
      </c>
      <c r="D64" s="16" t="s">
        <v>100</v>
      </c>
      <c r="E64" s="16" t="s">
        <v>100</v>
      </c>
      <c r="F64" s="17" t="s">
        <v>101</v>
      </c>
      <c r="G64" s="16" t="s">
        <v>89</v>
      </c>
      <c r="R64" s="16" t="s">
        <v>51</v>
      </c>
      <c r="S64" s="16" t="s">
        <v>51</v>
      </c>
      <c r="T64" s="17" t="s">
        <v>52</v>
      </c>
      <c r="U64" s="16" t="s">
        <v>132</v>
      </c>
      <c r="V64" s="17" t="s">
        <v>132</v>
      </c>
      <c r="W64" s="17"/>
      <c r="X64" s="16">
        <v>2</v>
      </c>
      <c r="Y64" s="16" t="s">
        <v>143</v>
      </c>
      <c r="AF64" s="16">
        <f>COUNTIF($AE$2:$AE$250,AE64)</f>
        <v>0</v>
      </c>
      <c r="AH64" s="17"/>
    </row>
    <row r="65" spans="1:43" s="16" customFormat="1" ht="24" customHeight="1" x14ac:dyDescent="0.25">
      <c r="A65" s="16" t="s">
        <v>91</v>
      </c>
      <c r="B65" s="16" t="s">
        <v>91</v>
      </c>
      <c r="C65" s="17" t="s">
        <v>156</v>
      </c>
      <c r="D65" s="16" t="s">
        <v>100</v>
      </c>
      <c r="E65" s="16" t="s">
        <v>100</v>
      </c>
      <c r="F65" s="17" t="s">
        <v>101</v>
      </c>
      <c r="G65" s="16" t="s">
        <v>89</v>
      </c>
      <c r="R65" s="16" t="s">
        <v>51</v>
      </c>
      <c r="S65" s="16" t="s">
        <v>51</v>
      </c>
      <c r="T65" s="17" t="s">
        <v>52</v>
      </c>
      <c r="U65" s="16" t="s">
        <v>129</v>
      </c>
      <c r="V65" s="17" t="s">
        <v>129</v>
      </c>
      <c r="W65" s="17"/>
      <c r="X65" s="16">
        <v>3</v>
      </c>
      <c r="Y65" s="16" t="s">
        <v>143</v>
      </c>
      <c r="AF65" s="16">
        <f>COUNTIF($AE$2:$AE$250,AE65)</f>
        <v>0</v>
      </c>
      <c r="AH65" s="17"/>
    </row>
    <row r="66" spans="1:43" s="16" customFormat="1" ht="24" customHeight="1" x14ac:dyDescent="0.25">
      <c r="A66" s="16" t="s">
        <v>91</v>
      </c>
      <c r="B66" s="16" t="s">
        <v>91</v>
      </c>
      <c r="C66" s="17" t="s">
        <v>156</v>
      </c>
      <c r="D66" s="16" t="s">
        <v>53</v>
      </c>
      <c r="E66" s="16" t="s">
        <v>53</v>
      </c>
      <c r="F66" s="17" t="s">
        <v>102</v>
      </c>
      <c r="G66" s="16" t="s">
        <v>89</v>
      </c>
      <c r="R66" s="16" t="s">
        <v>53</v>
      </c>
      <c r="S66" s="16" t="s">
        <v>53</v>
      </c>
      <c r="T66" s="17" t="s">
        <v>54</v>
      </c>
      <c r="U66" s="16" t="s">
        <v>238</v>
      </c>
      <c r="V66" s="17" t="s">
        <v>238</v>
      </c>
      <c r="W66" s="17"/>
      <c r="X66" s="16">
        <v>0</v>
      </c>
      <c r="Y66" s="16" t="s">
        <v>230</v>
      </c>
      <c r="AC66" s="16" t="s">
        <v>722</v>
      </c>
      <c r="AD66" s="16" t="s">
        <v>114</v>
      </c>
      <c r="AF66" s="16">
        <f>COUNTIF($AE$2:$AE$250,AE66)</f>
        <v>0</v>
      </c>
      <c r="AH66" s="17"/>
    </row>
    <row r="67" spans="1:43" s="16" customFormat="1" ht="24" customHeight="1" x14ac:dyDescent="0.25">
      <c r="A67" s="16" t="s">
        <v>91</v>
      </c>
      <c r="B67" s="16" t="s">
        <v>91</v>
      </c>
      <c r="C67" s="17" t="s">
        <v>156</v>
      </c>
      <c r="D67" s="16" t="s">
        <v>53</v>
      </c>
      <c r="E67" s="16" t="s">
        <v>53</v>
      </c>
      <c r="F67" s="17" t="s">
        <v>102</v>
      </c>
      <c r="G67" s="16" t="s">
        <v>89</v>
      </c>
      <c r="R67" s="16" t="s">
        <v>53</v>
      </c>
      <c r="S67" s="16" t="s">
        <v>53</v>
      </c>
      <c r="T67" s="17" t="s">
        <v>54</v>
      </c>
      <c r="U67" s="16" t="s">
        <v>240</v>
      </c>
      <c r="V67" s="17" t="s">
        <v>240</v>
      </c>
      <c r="W67" s="17"/>
      <c r="X67" s="16">
        <v>1</v>
      </c>
      <c r="Y67" s="16" t="s">
        <v>583</v>
      </c>
      <c r="AC67" s="16" t="s">
        <v>722</v>
      </c>
      <c r="AF67" s="16">
        <f>COUNTIF($AE$2:$AE$250,AE67)</f>
        <v>0</v>
      </c>
      <c r="AH67" s="17"/>
    </row>
    <row r="68" spans="1:43" s="16" customFormat="1" ht="24" customHeight="1" x14ac:dyDescent="0.25">
      <c r="A68" s="16" t="s">
        <v>91</v>
      </c>
      <c r="B68" s="16" t="s">
        <v>91</v>
      </c>
      <c r="C68" s="17" t="s">
        <v>156</v>
      </c>
      <c r="D68" s="16" t="s">
        <v>53</v>
      </c>
      <c r="E68" s="16" t="s">
        <v>53</v>
      </c>
      <c r="F68" s="17" t="s">
        <v>102</v>
      </c>
      <c r="G68" s="16" t="s">
        <v>89</v>
      </c>
      <c r="R68" s="16" t="s">
        <v>55</v>
      </c>
      <c r="S68" s="16" t="s">
        <v>55</v>
      </c>
      <c r="T68" s="17" t="s">
        <v>56</v>
      </c>
      <c r="V68" s="17"/>
      <c r="W68" s="17"/>
      <c r="AF68" s="16">
        <f>COUNTIF($AE$2:$AE$250,AE68)</f>
        <v>0</v>
      </c>
      <c r="AH68" s="17"/>
    </row>
    <row r="69" spans="1:43" s="16" customFormat="1" ht="24" customHeight="1" x14ac:dyDescent="0.25">
      <c r="A69" s="16" t="s">
        <v>91</v>
      </c>
      <c r="B69" s="16" t="s">
        <v>91</v>
      </c>
      <c r="C69" s="17" t="s">
        <v>156</v>
      </c>
      <c r="D69" s="16" t="s">
        <v>57</v>
      </c>
      <c r="E69" s="16" t="s">
        <v>57</v>
      </c>
      <c r="F69" s="17" t="s">
        <v>106</v>
      </c>
      <c r="G69" s="16" t="s">
        <v>89</v>
      </c>
      <c r="R69" s="16" t="s">
        <v>118</v>
      </c>
      <c r="S69" s="16" t="s">
        <v>120</v>
      </c>
      <c r="T69" s="17" t="s">
        <v>119</v>
      </c>
      <c r="V69" s="17"/>
      <c r="W69" s="17"/>
      <c r="AF69" s="16">
        <f>COUNTIF($AE$2:$AE$250,AE69)</f>
        <v>0</v>
      </c>
      <c r="AH69" s="17"/>
    </row>
    <row r="70" spans="1:43" s="16" customFormat="1" ht="24" customHeight="1" x14ac:dyDescent="0.25">
      <c r="A70" s="16" t="s">
        <v>91</v>
      </c>
      <c r="B70" s="16" t="s">
        <v>91</v>
      </c>
      <c r="C70" s="17" t="s">
        <v>156</v>
      </c>
      <c r="D70" s="16" t="s">
        <v>58</v>
      </c>
      <c r="E70" s="16" t="s">
        <v>58</v>
      </c>
      <c r="F70" s="17" t="s">
        <v>105</v>
      </c>
      <c r="R70" s="16" t="s">
        <v>699</v>
      </c>
      <c r="S70" s="16" t="s">
        <v>699</v>
      </c>
      <c r="T70" s="17" t="s">
        <v>700</v>
      </c>
      <c r="U70" s="16" t="s">
        <v>229</v>
      </c>
      <c r="V70" s="16" t="s">
        <v>229</v>
      </c>
      <c r="W70" s="17"/>
      <c r="X70" s="16">
        <v>0</v>
      </c>
      <c r="Y70" s="16" t="s">
        <v>230</v>
      </c>
      <c r="AC70" s="16" t="s">
        <v>722</v>
      </c>
      <c r="AD70" s="16" t="s">
        <v>114</v>
      </c>
      <c r="AE70" s="16" t="s">
        <v>704</v>
      </c>
      <c r="AF70" s="16">
        <f>COUNTIF($AE$2:$AE$250,AE70)</f>
        <v>1</v>
      </c>
      <c r="AH70" s="17"/>
      <c r="AI70" s="16" t="s">
        <v>158</v>
      </c>
      <c r="AJ70" s="16" t="s">
        <v>91</v>
      </c>
      <c r="AK70" s="16" t="s">
        <v>699</v>
      </c>
      <c r="AL70" s="16" t="s">
        <v>229</v>
      </c>
      <c r="AM70" s="16" t="s">
        <v>69</v>
      </c>
      <c r="AN70" s="16" t="s">
        <v>91</v>
      </c>
      <c r="AO70" s="16" t="s">
        <v>217</v>
      </c>
      <c r="AP70" s="16" t="s">
        <v>229</v>
      </c>
      <c r="AQ70" s="16" t="s">
        <v>70</v>
      </c>
    </row>
    <row r="71" spans="1:43" s="16" customFormat="1" ht="24" customHeight="1" x14ac:dyDescent="0.25">
      <c r="A71" s="16" t="s">
        <v>91</v>
      </c>
      <c r="B71" s="16" t="s">
        <v>91</v>
      </c>
      <c r="C71" s="17" t="s">
        <v>156</v>
      </c>
      <c r="D71" s="16" t="s">
        <v>58</v>
      </c>
      <c r="E71" s="16" t="s">
        <v>58</v>
      </c>
      <c r="F71" s="17" t="s">
        <v>105</v>
      </c>
      <c r="R71" s="16" t="s">
        <v>699</v>
      </c>
      <c r="S71" s="16" t="s">
        <v>699</v>
      </c>
      <c r="T71" s="17" t="s">
        <v>700</v>
      </c>
      <c r="U71" s="16" t="s">
        <v>690</v>
      </c>
      <c r="V71" s="16" t="s">
        <v>690</v>
      </c>
      <c r="W71" s="17"/>
      <c r="X71" s="16">
        <v>1</v>
      </c>
      <c r="Y71" s="16" t="s">
        <v>230</v>
      </c>
      <c r="AC71" s="16" t="s">
        <v>722</v>
      </c>
      <c r="AE71" s="16" t="s">
        <v>58</v>
      </c>
      <c r="AF71" s="16">
        <f>COUNTIF($AE$2:$AE$250,AE71)</f>
        <v>1</v>
      </c>
      <c r="AG71" s="16" t="s">
        <v>58</v>
      </c>
      <c r="AH71" s="17"/>
      <c r="AI71" s="16" t="s">
        <v>158</v>
      </c>
      <c r="AJ71" s="16" t="s">
        <v>91</v>
      </c>
      <c r="AK71" s="16" t="s">
        <v>699</v>
      </c>
      <c r="AL71" s="16" t="s">
        <v>690</v>
      </c>
      <c r="AM71" s="16" t="s">
        <v>69</v>
      </c>
      <c r="AN71" s="16" t="s">
        <v>91</v>
      </c>
      <c r="AO71" s="16" t="s">
        <v>58</v>
      </c>
      <c r="AP71" s="16" t="s">
        <v>690</v>
      </c>
      <c r="AQ71" s="16" t="s">
        <v>70</v>
      </c>
    </row>
    <row r="72" spans="1:43" s="16" customFormat="1" ht="24" customHeight="1" x14ac:dyDescent="0.25">
      <c r="A72" s="16" t="s">
        <v>91</v>
      </c>
      <c r="B72" s="16" t="s">
        <v>91</v>
      </c>
      <c r="C72" s="17" t="s">
        <v>156</v>
      </c>
      <c r="D72" s="16" t="s">
        <v>58</v>
      </c>
      <c r="E72" s="16" t="s">
        <v>58</v>
      </c>
      <c r="F72" s="17" t="s">
        <v>105</v>
      </c>
      <c r="G72" s="16" t="s">
        <v>89</v>
      </c>
      <c r="R72" s="16" t="s">
        <v>58</v>
      </c>
      <c r="S72" s="16" t="s">
        <v>58</v>
      </c>
      <c r="T72" s="17" t="s">
        <v>144</v>
      </c>
      <c r="U72" s="16" t="s">
        <v>690</v>
      </c>
      <c r="V72" s="16" t="s">
        <v>690</v>
      </c>
      <c r="W72" s="17"/>
      <c r="X72" s="16">
        <v>0</v>
      </c>
      <c r="Y72" s="16" t="s">
        <v>230</v>
      </c>
      <c r="AC72" s="16" t="s">
        <v>722</v>
      </c>
      <c r="AD72" s="16" t="s">
        <v>114</v>
      </c>
      <c r="AF72" s="16">
        <f>COUNTIF($AE$2:$AE$250,AE72)</f>
        <v>0</v>
      </c>
      <c r="AH72" s="17"/>
    </row>
    <row r="73" spans="1:43" s="16" customFormat="1" ht="24" customHeight="1" x14ac:dyDescent="0.25">
      <c r="A73" s="16" t="s">
        <v>91</v>
      </c>
      <c r="B73" s="16" t="s">
        <v>91</v>
      </c>
      <c r="C73" s="17" t="s">
        <v>156</v>
      </c>
      <c r="D73" s="16" t="s">
        <v>40</v>
      </c>
      <c r="E73" s="16" t="s">
        <v>40</v>
      </c>
      <c r="F73" s="17" t="s">
        <v>99</v>
      </c>
      <c r="G73" s="16" t="s">
        <v>89</v>
      </c>
      <c r="R73" s="16" t="s">
        <v>138</v>
      </c>
      <c r="S73" s="16" t="s">
        <v>139</v>
      </c>
      <c r="T73" s="17" t="s">
        <v>59</v>
      </c>
      <c r="U73" s="16" t="s">
        <v>241</v>
      </c>
      <c r="V73" s="17" t="s">
        <v>241</v>
      </c>
      <c r="W73" s="17" t="s">
        <v>242</v>
      </c>
      <c r="X73" s="16">
        <v>0</v>
      </c>
      <c r="Y73" s="16" t="s">
        <v>230</v>
      </c>
      <c r="AC73" s="16" t="s">
        <v>722</v>
      </c>
      <c r="AD73" s="16" t="s">
        <v>114</v>
      </c>
      <c r="AF73" s="16">
        <f>COUNTIF($AE$2:$AE$250,AE73)</f>
        <v>0</v>
      </c>
      <c r="AH73" s="17"/>
    </row>
    <row r="74" spans="1:43" s="16" customFormat="1" ht="24" customHeight="1" x14ac:dyDescent="0.25">
      <c r="A74" s="16" t="s">
        <v>91</v>
      </c>
      <c r="B74" s="16" t="s">
        <v>91</v>
      </c>
      <c r="C74" s="17" t="s">
        <v>156</v>
      </c>
      <c r="D74" s="16" t="s">
        <v>40</v>
      </c>
      <c r="E74" s="16" t="s">
        <v>40</v>
      </c>
      <c r="F74" s="17" t="s">
        <v>99</v>
      </c>
      <c r="R74" s="16" t="s">
        <v>138</v>
      </c>
      <c r="S74" s="16" t="s">
        <v>139</v>
      </c>
      <c r="T74" s="17" t="s">
        <v>59</v>
      </c>
      <c r="U74" s="16" t="s">
        <v>357</v>
      </c>
      <c r="V74" s="17" t="s">
        <v>357</v>
      </c>
      <c r="W74" s="17" t="s">
        <v>243</v>
      </c>
      <c r="X74" s="16">
        <v>1</v>
      </c>
      <c r="Y74" s="16" t="s">
        <v>230</v>
      </c>
      <c r="AC74" s="16" t="s">
        <v>722</v>
      </c>
      <c r="AE74" s="16" t="s">
        <v>40</v>
      </c>
      <c r="AF74" s="16">
        <f>COUNTIF($AE$2:$AE$250,AE74)</f>
        <v>1</v>
      </c>
      <c r="AG74" s="16" t="s">
        <v>40</v>
      </c>
      <c r="AH74" s="17" t="s">
        <v>246</v>
      </c>
      <c r="AI74" s="16" t="s">
        <v>158</v>
      </c>
      <c r="AJ74" s="16" t="s">
        <v>91</v>
      </c>
      <c r="AK74" s="16" t="s">
        <v>138</v>
      </c>
      <c r="AL74" s="16" t="s">
        <v>357</v>
      </c>
      <c r="AM74" s="16" t="s">
        <v>69</v>
      </c>
      <c r="AN74" s="16" t="s">
        <v>91</v>
      </c>
      <c r="AO74" s="16" t="s">
        <v>351</v>
      </c>
      <c r="AP74" s="16" t="s">
        <v>357</v>
      </c>
      <c r="AQ74" s="16" t="s">
        <v>70</v>
      </c>
    </row>
    <row r="75" spans="1:43" s="16" customFormat="1" ht="24" customHeight="1" x14ac:dyDescent="0.25">
      <c r="A75" s="16" t="s">
        <v>91</v>
      </c>
      <c r="B75" s="16" t="s">
        <v>91</v>
      </c>
      <c r="C75" s="17" t="s">
        <v>156</v>
      </c>
      <c r="D75" s="16" t="s">
        <v>40</v>
      </c>
      <c r="E75" s="16" t="s">
        <v>40</v>
      </c>
      <c r="F75" s="17" t="s">
        <v>99</v>
      </c>
      <c r="R75" s="16" t="s">
        <v>138</v>
      </c>
      <c r="S75" s="16" t="s">
        <v>139</v>
      </c>
      <c r="T75" s="17" t="s">
        <v>59</v>
      </c>
      <c r="U75" s="16" t="s">
        <v>229</v>
      </c>
      <c r="V75" s="17" t="s">
        <v>229</v>
      </c>
      <c r="W75" s="17" t="s">
        <v>244</v>
      </c>
      <c r="X75" s="16">
        <v>2</v>
      </c>
      <c r="Y75" s="16" t="s">
        <v>230</v>
      </c>
      <c r="AC75" s="16" t="s">
        <v>722</v>
      </c>
      <c r="AE75" s="16" t="s">
        <v>217</v>
      </c>
      <c r="AF75" s="16">
        <f>COUNTIF($AE$2:$AE$250,AE75)</f>
        <v>1</v>
      </c>
      <c r="AG75" s="16" t="s">
        <v>217</v>
      </c>
      <c r="AH75" s="17" t="s">
        <v>247</v>
      </c>
      <c r="AI75" s="16" t="s">
        <v>158</v>
      </c>
      <c r="AJ75" s="16" t="s">
        <v>91</v>
      </c>
      <c r="AK75" s="16" t="s">
        <v>138</v>
      </c>
      <c r="AL75" s="16" t="s">
        <v>229</v>
      </c>
      <c r="AM75" s="16" t="s">
        <v>70</v>
      </c>
      <c r="AN75" s="16" t="s">
        <v>91</v>
      </c>
      <c r="AO75" s="16" t="s">
        <v>217</v>
      </c>
      <c r="AP75" s="16" t="s">
        <v>229</v>
      </c>
      <c r="AQ75" s="16" t="s">
        <v>70</v>
      </c>
    </row>
    <row r="76" spans="1:43" s="16" customFormat="1" ht="24" customHeight="1" x14ac:dyDescent="0.25">
      <c r="A76" s="16" t="s">
        <v>91</v>
      </c>
      <c r="B76" s="16" t="s">
        <v>91</v>
      </c>
      <c r="C76" s="17" t="s">
        <v>156</v>
      </c>
      <c r="D76" s="16" t="s">
        <v>40</v>
      </c>
      <c r="E76" s="16" t="s">
        <v>40</v>
      </c>
      <c r="F76" s="17" t="s">
        <v>99</v>
      </c>
      <c r="R76" s="16" t="s">
        <v>138</v>
      </c>
      <c r="S76" s="16" t="s">
        <v>139</v>
      </c>
      <c r="T76" s="17" t="s">
        <v>59</v>
      </c>
      <c r="U76" s="16" t="s">
        <v>136</v>
      </c>
      <c r="V76" s="17" t="s">
        <v>136</v>
      </c>
      <c r="W76" s="17" t="s">
        <v>245</v>
      </c>
      <c r="X76" s="16">
        <v>3</v>
      </c>
      <c r="Y76" s="16" t="s">
        <v>230</v>
      </c>
      <c r="AC76" s="16" t="s">
        <v>722</v>
      </c>
      <c r="AE76" s="16" t="s">
        <v>136</v>
      </c>
      <c r="AF76" s="16">
        <f>COUNTIF($AE$2:$AE$250,AE76)</f>
        <v>1</v>
      </c>
      <c r="AG76" s="16" t="s">
        <v>136</v>
      </c>
      <c r="AH76" s="17" t="s">
        <v>245</v>
      </c>
      <c r="AI76" s="16" t="s">
        <v>158</v>
      </c>
      <c r="AJ76" s="16" t="s">
        <v>91</v>
      </c>
      <c r="AK76" s="16" t="s">
        <v>138</v>
      </c>
      <c r="AL76" s="16" t="s">
        <v>136</v>
      </c>
      <c r="AM76" s="16" t="s">
        <v>70</v>
      </c>
      <c r="AN76" s="16" t="s">
        <v>91</v>
      </c>
      <c r="AO76" s="16" t="s">
        <v>136</v>
      </c>
      <c r="AP76" s="16" t="s">
        <v>136</v>
      </c>
      <c r="AQ76" s="16" t="s">
        <v>70</v>
      </c>
    </row>
    <row r="77" spans="1:43" s="16" customFormat="1" ht="24" customHeight="1" x14ac:dyDescent="0.25">
      <c r="A77" s="16" t="s">
        <v>91</v>
      </c>
      <c r="B77" s="16" t="s">
        <v>91</v>
      </c>
      <c r="C77" s="17" t="s">
        <v>156</v>
      </c>
      <c r="D77" s="16" t="s">
        <v>40</v>
      </c>
      <c r="E77" s="16" t="s">
        <v>40</v>
      </c>
      <c r="F77" s="17" t="s">
        <v>99</v>
      </c>
      <c r="R77" s="16" t="s">
        <v>138</v>
      </c>
      <c r="S77" s="16" t="s">
        <v>139</v>
      </c>
      <c r="T77" s="17" t="s">
        <v>59</v>
      </c>
      <c r="U77" s="16" t="s">
        <v>256</v>
      </c>
      <c r="V77" s="17" t="s">
        <v>256</v>
      </c>
      <c r="W77" s="17" t="s">
        <v>259</v>
      </c>
      <c r="X77" s="16">
        <v>4</v>
      </c>
      <c r="Y77" s="16" t="s">
        <v>230</v>
      </c>
      <c r="AC77" s="16" t="s">
        <v>114</v>
      </c>
      <c r="AE77" s="16" t="s">
        <v>248</v>
      </c>
      <c r="AF77" s="16">
        <f>COUNTIF($AE$2:$AE$250,AE77)</f>
        <v>1</v>
      </c>
      <c r="AG77" s="16" t="s">
        <v>248</v>
      </c>
      <c r="AH77" s="17" t="s">
        <v>297</v>
      </c>
      <c r="AI77" s="16" t="s">
        <v>158</v>
      </c>
      <c r="AJ77" s="16" t="s">
        <v>91</v>
      </c>
      <c r="AK77" s="16" t="s">
        <v>138</v>
      </c>
      <c r="AL77" s="16" t="s">
        <v>256</v>
      </c>
      <c r="AM77" s="16" t="s">
        <v>70</v>
      </c>
      <c r="AN77" s="16" t="s">
        <v>91</v>
      </c>
      <c r="AO77" s="16" t="s">
        <v>248</v>
      </c>
      <c r="AP77" s="16" t="s">
        <v>256</v>
      </c>
      <c r="AQ77" s="16" t="s">
        <v>70</v>
      </c>
    </row>
    <row r="78" spans="1:43" s="16" customFormat="1" ht="24" customHeight="1" x14ac:dyDescent="0.25">
      <c r="A78" s="16" t="s">
        <v>91</v>
      </c>
      <c r="B78" s="16" t="s">
        <v>91</v>
      </c>
      <c r="C78" s="17" t="s">
        <v>156</v>
      </c>
      <c r="D78" s="16" t="s">
        <v>58</v>
      </c>
      <c r="E78" s="16" t="s">
        <v>58</v>
      </c>
      <c r="F78" s="17" t="s">
        <v>105</v>
      </c>
      <c r="R78" s="16" t="s">
        <v>248</v>
      </c>
      <c r="S78" s="16" t="s">
        <v>248</v>
      </c>
      <c r="T78" s="17" t="s">
        <v>249</v>
      </c>
      <c r="U78" s="16" t="s">
        <v>256</v>
      </c>
      <c r="V78" s="17" t="s">
        <v>256</v>
      </c>
      <c r="W78" s="17"/>
      <c r="X78" s="16">
        <v>0</v>
      </c>
      <c r="Y78" s="16" t="s">
        <v>230</v>
      </c>
      <c r="AC78" s="16" t="s">
        <v>722</v>
      </c>
      <c r="AD78" s="16" t="s">
        <v>114</v>
      </c>
      <c r="AF78" s="16">
        <f>COUNTIF($AE$2:$AE$250,AE78)</f>
        <v>0</v>
      </c>
      <c r="AH78" s="17"/>
    </row>
    <row r="79" spans="1:43" s="16" customFormat="1" ht="24" customHeight="1" x14ac:dyDescent="0.25">
      <c r="A79" s="16" t="s">
        <v>91</v>
      </c>
      <c r="B79" s="16" t="s">
        <v>91</v>
      </c>
      <c r="C79" s="17" t="s">
        <v>156</v>
      </c>
      <c r="D79" s="16" t="s">
        <v>58</v>
      </c>
      <c r="E79" s="16" t="s">
        <v>58</v>
      </c>
      <c r="F79" s="17" t="s">
        <v>105</v>
      </c>
      <c r="R79" s="16" t="s">
        <v>248</v>
      </c>
      <c r="S79" s="16" t="s">
        <v>248</v>
      </c>
      <c r="T79" s="17" t="s">
        <v>249</v>
      </c>
      <c r="U79" s="16" t="s">
        <v>250</v>
      </c>
      <c r="V79" s="17" t="s">
        <v>250</v>
      </c>
      <c r="W79" s="17" t="s">
        <v>594</v>
      </c>
      <c r="X79" s="16">
        <v>1</v>
      </c>
      <c r="Y79" s="16" t="s">
        <v>230</v>
      </c>
      <c r="AC79" s="16" t="s">
        <v>722</v>
      </c>
      <c r="AE79" s="16" t="s">
        <v>257</v>
      </c>
      <c r="AF79" s="16">
        <f>COUNTIF($AE$2:$AE$250,AE79)</f>
        <v>1</v>
      </c>
      <c r="AG79" s="16" t="s">
        <v>257</v>
      </c>
      <c r="AH79" s="17"/>
      <c r="AI79" s="16" t="s">
        <v>158</v>
      </c>
      <c r="AJ79" s="16" t="s">
        <v>91</v>
      </c>
      <c r="AK79" s="16" t="s">
        <v>248</v>
      </c>
      <c r="AL79" s="16" t="s">
        <v>250</v>
      </c>
      <c r="AM79" s="16" t="s">
        <v>70</v>
      </c>
      <c r="AN79" s="16" t="s">
        <v>91</v>
      </c>
      <c r="AO79" s="16" t="s">
        <v>217</v>
      </c>
      <c r="AP79" s="16" t="s">
        <v>229</v>
      </c>
      <c r="AQ79" s="16" t="s">
        <v>70</v>
      </c>
    </row>
    <row r="80" spans="1:43" s="16" customFormat="1" ht="24" customHeight="1" x14ac:dyDescent="0.25">
      <c r="A80" s="16" t="s">
        <v>91</v>
      </c>
      <c r="B80" s="16" t="s">
        <v>91</v>
      </c>
      <c r="C80" s="17" t="s">
        <v>156</v>
      </c>
      <c r="D80" s="16" t="s">
        <v>58</v>
      </c>
      <c r="E80" s="16" t="s">
        <v>58</v>
      </c>
      <c r="F80" s="17" t="s">
        <v>105</v>
      </c>
      <c r="R80" s="16" t="s">
        <v>248</v>
      </c>
      <c r="S80" s="16" t="s">
        <v>248</v>
      </c>
      <c r="T80" s="17" t="s">
        <v>249</v>
      </c>
      <c r="U80" s="16" t="s">
        <v>251</v>
      </c>
      <c r="V80" s="17" t="s">
        <v>251</v>
      </c>
      <c r="W80" s="17" t="s">
        <v>595</v>
      </c>
      <c r="X80" s="16">
        <v>2</v>
      </c>
      <c r="Y80" s="16" t="s">
        <v>230</v>
      </c>
      <c r="AC80" s="16" t="s">
        <v>722</v>
      </c>
      <c r="AE80" s="16" t="s">
        <v>65</v>
      </c>
      <c r="AF80" s="16">
        <f>COUNTIF($AE$2:$AE$250,AE80)</f>
        <v>1</v>
      </c>
      <c r="AG80" s="16" t="s">
        <v>65</v>
      </c>
      <c r="AH80" s="17"/>
      <c r="AI80" s="16" t="s">
        <v>158</v>
      </c>
      <c r="AJ80" s="16" t="s">
        <v>91</v>
      </c>
      <c r="AK80" s="16" t="s">
        <v>248</v>
      </c>
      <c r="AL80" s="16" t="s">
        <v>251</v>
      </c>
      <c r="AM80" s="16" t="s">
        <v>70</v>
      </c>
      <c r="AN80" s="16" t="s">
        <v>91</v>
      </c>
      <c r="AO80" s="16" t="s">
        <v>217</v>
      </c>
      <c r="AP80" s="16" t="s">
        <v>229</v>
      </c>
      <c r="AQ80" s="16" t="s">
        <v>70</v>
      </c>
    </row>
    <row r="81" spans="1:43" s="16" customFormat="1" ht="24" customHeight="1" x14ac:dyDescent="0.25">
      <c r="A81" s="16" t="s">
        <v>91</v>
      </c>
      <c r="B81" s="16" t="s">
        <v>91</v>
      </c>
      <c r="C81" s="17" t="s">
        <v>156</v>
      </c>
      <c r="D81" s="16" t="s">
        <v>58</v>
      </c>
      <c r="E81" s="16" t="s">
        <v>58</v>
      </c>
      <c r="F81" s="17" t="s">
        <v>105</v>
      </c>
      <c r="R81" s="16" t="s">
        <v>248</v>
      </c>
      <c r="S81" s="16" t="s">
        <v>248</v>
      </c>
      <c r="T81" s="17" t="s">
        <v>593</v>
      </c>
      <c r="U81" s="16" t="s">
        <v>565</v>
      </c>
      <c r="V81" s="17" t="s">
        <v>565</v>
      </c>
      <c r="W81" s="17" t="s">
        <v>561</v>
      </c>
      <c r="X81" s="16">
        <v>3</v>
      </c>
      <c r="Y81" s="16" t="s">
        <v>583</v>
      </c>
      <c r="AB81" s="16" t="s">
        <v>596</v>
      </c>
      <c r="AC81" s="16" t="s">
        <v>114</v>
      </c>
      <c r="AF81" s="16">
        <f>COUNTIF($AE$2:$AE$250,AE81)</f>
        <v>0</v>
      </c>
      <c r="AH81" s="17"/>
    </row>
    <row r="82" spans="1:43" s="16" customFormat="1" ht="24" customHeight="1" x14ac:dyDescent="0.25">
      <c r="A82" s="16" t="s">
        <v>91</v>
      </c>
      <c r="B82" s="16" t="s">
        <v>91</v>
      </c>
      <c r="C82" s="17" t="s">
        <v>156</v>
      </c>
      <c r="D82" s="16" t="s">
        <v>58</v>
      </c>
      <c r="E82" s="16" t="s">
        <v>58</v>
      </c>
      <c r="F82" s="17" t="s">
        <v>105</v>
      </c>
      <c r="R82" s="16" t="s">
        <v>248</v>
      </c>
      <c r="S82" s="16" t="s">
        <v>248</v>
      </c>
      <c r="T82" s="17" t="s">
        <v>593</v>
      </c>
      <c r="U82" s="17" t="s">
        <v>562</v>
      </c>
      <c r="V82" s="17" t="s">
        <v>562</v>
      </c>
      <c r="W82" s="17" t="s">
        <v>563</v>
      </c>
      <c r="X82" s="16">
        <v>4</v>
      </c>
      <c r="Y82" s="16" t="s">
        <v>583</v>
      </c>
      <c r="AB82" s="16" t="s">
        <v>596</v>
      </c>
      <c r="AC82" s="16" t="s">
        <v>114</v>
      </c>
      <c r="AF82" s="16">
        <f>COUNTIF($AE$2:$AE$250,AE82)</f>
        <v>0</v>
      </c>
      <c r="AH82" s="17"/>
    </row>
    <row r="83" spans="1:43" s="16" customFormat="1" ht="24" customHeight="1" x14ac:dyDescent="0.25">
      <c r="A83" s="16" t="s">
        <v>91</v>
      </c>
      <c r="B83" s="16" t="s">
        <v>91</v>
      </c>
      <c r="C83" s="17" t="s">
        <v>156</v>
      </c>
      <c r="D83" s="16" t="s">
        <v>58</v>
      </c>
      <c r="E83" s="16" t="s">
        <v>58</v>
      </c>
      <c r="F83" s="17" t="s">
        <v>105</v>
      </c>
      <c r="R83" s="16" t="s">
        <v>248</v>
      </c>
      <c r="S83" s="16" t="s">
        <v>248</v>
      </c>
      <c r="T83" s="17" t="s">
        <v>593</v>
      </c>
      <c r="U83" s="17" t="s">
        <v>564</v>
      </c>
      <c r="V83" s="17" t="s">
        <v>564</v>
      </c>
      <c r="W83" s="17" t="s">
        <v>563</v>
      </c>
      <c r="X83" s="16">
        <v>5</v>
      </c>
      <c r="Y83" s="16" t="s">
        <v>583</v>
      </c>
      <c r="AB83" s="16" t="s">
        <v>596</v>
      </c>
      <c r="AC83" s="16" t="s">
        <v>114</v>
      </c>
      <c r="AF83" s="16">
        <f>COUNTIF($AE$2:$AE$250,AE83)</f>
        <v>0</v>
      </c>
      <c r="AH83" s="17"/>
    </row>
    <row r="84" spans="1:43" s="16" customFormat="1" ht="24" customHeight="1" x14ac:dyDescent="0.25">
      <c r="A84" s="16" t="s">
        <v>91</v>
      </c>
      <c r="B84" s="16" t="s">
        <v>91</v>
      </c>
      <c r="C84" s="17" t="s">
        <v>156</v>
      </c>
      <c r="D84" s="16" t="s">
        <v>58</v>
      </c>
      <c r="E84" s="16" t="s">
        <v>58</v>
      </c>
      <c r="F84" s="17" t="s">
        <v>105</v>
      </c>
      <c r="R84" s="16" t="s">
        <v>248</v>
      </c>
      <c r="S84" s="16" t="s">
        <v>248</v>
      </c>
      <c r="T84" s="17" t="s">
        <v>593</v>
      </c>
      <c r="U84" s="17" t="s">
        <v>566</v>
      </c>
      <c r="V84" s="17" t="s">
        <v>566</v>
      </c>
      <c r="W84" s="17" t="s">
        <v>566</v>
      </c>
      <c r="X84" s="16">
        <v>6</v>
      </c>
      <c r="Y84" s="16" t="s">
        <v>583</v>
      </c>
      <c r="AB84" s="16" t="s">
        <v>596</v>
      </c>
      <c r="AC84" s="16" t="s">
        <v>114</v>
      </c>
      <c r="AF84" s="16">
        <f>COUNTIF($AE$2:$AE$250,AE84)</f>
        <v>0</v>
      </c>
      <c r="AH84" s="17"/>
    </row>
    <row r="85" spans="1:43" s="16" customFormat="1" ht="24" customHeight="1" x14ac:dyDescent="0.25">
      <c r="A85" s="16" t="s">
        <v>91</v>
      </c>
      <c r="B85" s="16" t="s">
        <v>91</v>
      </c>
      <c r="C85" s="17" t="s">
        <v>156</v>
      </c>
      <c r="D85" s="16" t="s">
        <v>58</v>
      </c>
      <c r="E85" s="16" t="s">
        <v>58</v>
      </c>
      <c r="F85" s="17" t="s">
        <v>105</v>
      </c>
      <c r="R85" s="16" t="s">
        <v>248</v>
      </c>
      <c r="S85" s="16" t="s">
        <v>248</v>
      </c>
      <c r="T85" s="17" t="s">
        <v>593</v>
      </c>
      <c r="U85" s="16" t="s">
        <v>252</v>
      </c>
      <c r="V85" s="17" t="s">
        <v>252</v>
      </c>
      <c r="W85" s="17" t="s">
        <v>560</v>
      </c>
      <c r="X85" s="16">
        <v>7</v>
      </c>
      <c r="Y85" s="16" t="s">
        <v>583</v>
      </c>
      <c r="AC85" s="16" t="s">
        <v>114</v>
      </c>
      <c r="AF85" s="16">
        <f>COUNTIF($AE$2:$AE$250,AE85)</f>
        <v>0</v>
      </c>
      <c r="AH85" s="17"/>
    </row>
    <row r="86" spans="1:43" s="16" customFormat="1" ht="24" customHeight="1" x14ac:dyDescent="0.25">
      <c r="A86" s="16" t="s">
        <v>91</v>
      </c>
      <c r="B86" s="16" t="s">
        <v>91</v>
      </c>
      <c r="C86" s="17" t="s">
        <v>156</v>
      </c>
      <c r="D86" s="16" t="s">
        <v>58</v>
      </c>
      <c r="E86" s="16" t="s">
        <v>58</v>
      </c>
      <c r="F86" s="17" t="s">
        <v>105</v>
      </c>
      <c r="R86" s="16" t="s">
        <v>248</v>
      </c>
      <c r="S86" s="16" t="s">
        <v>248</v>
      </c>
      <c r="T86" s="17" t="s">
        <v>593</v>
      </c>
      <c r="U86" s="16" t="s">
        <v>253</v>
      </c>
      <c r="V86" s="17" t="s">
        <v>253</v>
      </c>
      <c r="W86" s="17" t="s">
        <v>559</v>
      </c>
      <c r="X86" s="16">
        <v>8</v>
      </c>
      <c r="Y86" s="16" t="s">
        <v>583</v>
      </c>
      <c r="AC86" s="16" t="s">
        <v>114</v>
      </c>
      <c r="AF86" s="16">
        <f>COUNTIF($AE$2:$AE$250,AE86)</f>
        <v>0</v>
      </c>
      <c r="AH86" s="17"/>
    </row>
    <row r="87" spans="1:43" s="16" customFormat="1" ht="24" customHeight="1" x14ac:dyDescent="0.25">
      <c r="A87" s="16" t="s">
        <v>91</v>
      </c>
      <c r="B87" s="16" t="s">
        <v>91</v>
      </c>
      <c r="C87" s="17" t="s">
        <v>156</v>
      </c>
      <c r="D87" s="16" t="s">
        <v>58</v>
      </c>
      <c r="E87" s="16" t="s">
        <v>58</v>
      </c>
      <c r="F87" s="17" t="s">
        <v>105</v>
      </c>
      <c r="R87" s="16" t="s">
        <v>248</v>
      </c>
      <c r="S87" s="16" t="s">
        <v>248</v>
      </c>
      <c r="T87" s="17" t="s">
        <v>593</v>
      </c>
      <c r="U87" s="16" t="s">
        <v>254</v>
      </c>
      <c r="V87" s="17" t="s">
        <v>254</v>
      </c>
      <c r="W87" s="17" t="s">
        <v>558</v>
      </c>
      <c r="X87" s="16">
        <v>9</v>
      </c>
      <c r="Y87" s="16" t="s">
        <v>583</v>
      </c>
      <c r="AC87" s="16" t="s">
        <v>114</v>
      </c>
      <c r="AF87" s="16">
        <f>COUNTIF($AE$2:$AE$250,AE87)</f>
        <v>0</v>
      </c>
      <c r="AH87" s="17"/>
    </row>
    <row r="88" spans="1:43" s="16" customFormat="1" ht="24" customHeight="1" x14ac:dyDescent="0.25">
      <c r="A88" s="16" t="s">
        <v>91</v>
      </c>
      <c r="B88" s="16" t="s">
        <v>91</v>
      </c>
      <c r="C88" s="17" t="s">
        <v>156</v>
      </c>
      <c r="D88" s="16" t="s">
        <v>58</v>
      </c>
      <c r="E88" s="16" t="s">
        <v>58</v>
      </c>
      <c r="F88" s="17" t="s">
        <v>105</v>
      </c>
      <c r="R88" s="16" t="s">
        <v>248</v>
      </c>
      <c r="S88" s="16" t="s">
        <v>248</v>
      </c>
      <c r="T88" s="17" t="s">
        <v>593</v>
      </c>
      <c r="U88" s="16" t="s">
        <v>255</v>
      </c>
      <c r="V88" s="17" t="s">
        <v>255</v>
      </c>
      <c r="W88" s="17" t="s">
        <v>556</v>
      </c>
      <c r="X88" s="16">
        <v>10</v>
      </c>
      <c r="Y88" s="16" t="s">
        <v>583</v>
      </c>
      <c r="AC88" s="16" t="s">
        <v>114</v>
      </c>
      <c r="AF88" s="16">
        <f>COUNTIF($AE$2:$AE$250,AE88)</f>
        <v>0</v>
      </c>
      <c r="AH88" s="17"/>
    </row>
    <row r="89" spans="1:43" s="16" customFormat="1" ht="24" customHeight="1" x14ac:dyDescent="0.25">
      <c r="A89" s="16" t="s">
        <v>91</v>
      </c>
      <c r="B89" s="16" t="s">
        <v>91</v>
      </c>
      <c r="C89" s="17" t="s">
        <v>156</v>
      </c>
      <c r="D89" s="16" t="s">
        <v>58</v>
      </c>
      <c r="E89" s="16" t="s">
        <v>58</v>
      </c>
      <c r="F89" s="17" t="s">
        <v>105</v>
      </c>
      <c r="R89" s="16" t="s">
        <v>248</v>
      </c>
      <c r="S89" s="16" t="s">
        <v>248</v>
      </c>
      <c r="T89" s="17" t="s">
        <v>593</v>
      </c>
      <c r="U89" s="16" t="s">
        <v>258</v>
      </c>
      <c r="V89" s="17" t="s">
        <v>258</v>
      </c>
      <c r="W89" s="17" t="s">
        <v>557</v>
      </c>
      <c r="X89" s="16">
        <v>11</v>
      </c>
      <c r="Y89" s="16" t="s">
        <v>583</v>
      </c>
      <c r="AC89" s="16" t="s">
        <v>114</v>
      </c>
      <c r="AF89" s="16">
        <f>COUNTIF($AE$2:$AE$250,AE89)</f>
        <v>0</v>
      </c>
      <c r="AH89" s="17"/>
    </row>
    <row r="90" spans="1:43" s="16" customFormat="1" ht="24" customHeight="1" x14ac:dyDescent="0.25">
      <c r="A90" s="16" t="s">
        <v>91</v>
      </c>
      <c r="B90" s="16" t="s">
        <v>91</v>
      </c>
      <c r="C90" s="17" t="s">
        <v>156</v>
      </c>
      <c r="D90" s="16" t="s">
        <v>40</v>
      </c>
      <c r="E90" s="16" t="s">
        <v>40</v>
      </c>
      <c r="F90" s="17" t="s">
        <v>99</v>
      </c>
      <c r="G90" s="16" t="s">
        <v>89</v>
      </c>
      <c r="R90" s="16" t="s">
        <v>136</v>
      </c>
      <c r="S90" s="16" t="s">
        <v>137</v>
      </c>
      <c r="T90" s="17" t="s">
        <v>60</v>
      </c>
      <c r="U90" s="16" t="s">
        <v>136</v>
      </c>
      <c r="V90" s="17" t="s">
        <v>136</v>
      </c>
      <c r="W90" s="17"/>
      <c r="X90" s="16">
        <v>0</v>
      </c>
      <c r="Y90" s="16" t="s">
        <v>230</v>
      </c>
      <c r="AC90" s="16" t="s">
        <v>722</v>
      </c>
      <c r="AD90" s="16" t="s">
        <v>114</v>
      </c>
      <c r="AF90" s="16">
        <f>COUNTIF($AE$2:$AE$250,AE90)</f>
        <v>0</v>
      </c>
      <c r="AH90" s="17"/>
    </row>
    <row r="91" spans="1:43" s="16" customFormat="1" ht="24" customHeight="1" x14ac:dyDescent="0.25">
      <c r="A91" s="16" t="s">
        <v>91</v>
      </c>
      <c r="B91" s="16" t="s">
        <v>91</v>
      </c>
      <c r="C91" s="17" t="s">
        <v>156</v>
      </c>
      <c r="D91" s="16" t="s">
        <v>103</v>
      </c>
      <c r="E91" s="16" t="s">
        <v>103</v>
      </c>
      <c r="F91" s="17" t="s">
        <v>104</v>
      </c>
      <c r="G91" s="16" t="s">
        <v>89</v>
      </c>
      <c r="R91" s="16" t="s">
        <v>140</v>
      </c>
      <c r="S91" s="16" t="s">
        <v>141</v>
      </c>
      <c r="T91" s="17" t="s">
        <v>696</v>
      </c>
      <c r="U91" s="16" t="s">
        <v>65</v>
      </c>
      <c r="V91" s="17" t="s">
        <v>66</v>
      </c>
      <c r="W91" s="17" t="s">
        <v>153</v>
      </c>
      <c r="X91" s="16">
        <v>0</v>
      </c>
      <c r="Y91" s="16" t="s">
        <v>143</v>
      </c>
      <c r="AF91" s="16">
        <f>COUNTIF($AE$2:$AE$250,AE91)</f>
        <v>0</v>
      </c>
      <c r="AH91" s="17"/>
    </row>
    <row r="92" spans="1:43" s="16" customFormat="1" ht="24" customHeight="1" x14ac:dyDescent="0.25">
      <c r="A92" s="16" t="s">
        <v>91</v>
      </c>
      <c r="B92" s="16" t="s">
        <v>91</v>
      </c>
      <c r="C92" s="17" t="s">
        <v>156</v>
      </c>
      <c r="D92" s="16" t="s">
        <v>103</v>
      </c>
      <c r="E92" s="16" t="s">
        <v>103</v>
      </c>
      <c r="F92" s="17" t="s">
        <v>104</v>
      </c>
      <c r="G92" s="16" t="s">
        <v>89</v>
      </c>
      <c r="R92" s="16" t="s">
        <v>140</v>
      </c>
      <c r="S92" s="16" t="s">
        <v>141</v>
      </c>
      <c r="T92" s="17" t="s">
        <v>696</v>
      </c>
      <c r="U92" s="16" t="s">
        <v>155</v>
      </c>
      <c r="V92" s="17" t="s">
        <v>155</v>
      </c>
      <c r="W92" s="17" t="s">
        <v>154</v>
      </c>
      <c r="X92" s="16">
        <v>1</v>
      </c>
      <c r="Y92" s="16" t="s">
        <v>143</v>
      </c>
      <c r="AF92" s="16">
        <f>COUNTIF($AE$2:$AE$250,AE92)</f>
        <v>0</v>
      </c>
      <c r="AH92" s="17"/>
    </row>
    <row r="93" spans="1:43" s="16" customFormat="1" ht="24" customHeight="1" x14ac:dyDescent="0.25">
      <c r="A93" s="16" t="s">
        <v>91</v>
      </c>
      <c r="B93" s="16" t="s">
        <v>91</v>
      </c>
      <c r="C93" s="17" t="s">
        <v>156</v>
      </c>
      <c r="D93" s="16" t="s">
        <v>58</v>
      </c>
      <c r="E93" s="16" t="s">
        <v>58</v>
      </c>
      <c r="F93" s="17" t="s">
        <v>105</v>
      </c>
      <c r="G93" s="16" t="s">
        <v>89</v>
      </c>
      <c r="R93" s="16" t="s">
        <v>697</v>
      </c>
      <c r="S93" s="16" t="s">
        <v>697</v>
      </c>
      <c r="T93" s="17" t="s">
        <v>698</v>
      </c>
      <c r="U93" s="16" t="s">
        <v>661</v>
      </c>
      <c r="V93" s="16" t="s">
        <v>661</v>
      </c>
      <c r="W93" s="17"/>
      <c r="X93" s="16">
        <v>0</v>
      </c>
      <c r="Y93" s="16" t="s">
        <v>230</v>
      </c>
      <c r="AC93" s="16" t="s">
        <v>722</v>
      </c>
      <c r="AD93" s="16" t="s">
        <v>114</v>
      </c>
      <c r="AF93" s="16">
        <f>COUNTIF($AE$2:$AE$250,AE93)</f>
        <v>0</v>
      </c>
    </row>
    <row r="94" spans="1:43" s="16" customFormat="1" ht="24" customHeight="1" x14ac:dyDescent="0.25">
      <c r="A94" s="16" t="s">
        <v>91</v>
      </c>
      <c r="B94" s="16" t="s">
        <v>91</v>
      </c>
      <c r="C94" s="17" t="s">
        <v>156</v>
      </c>
      <c r="D94" s="16" t="s">
        <v>103</v>
      </c>
      <c r="E94" s="16" t="s">
        <v>103</v>
      </c>
      <c r="F94" s="17" t="s">
        <v>104</v>
      </c>
      <c r="G94" s="16" t="s">
        <v>89</v>
      </c>
      <c r="R94" s="16" t="s">
        <v>691</v>
      </c>
      <c r="S94" s="16" t="s">
        <v>691</v>
      </c>
      <c r="T94" s="17" t="s">
        <v>695</v>
      </c>
      <c r="U94" s="16" t="s">
        <v>707</v>
      </c>
      <c r="V94" s="16" t="s">
        <v>707</v>
      </c>
      <c r="W94" s="17"/>
      <c r="X94" s="16">
        <v>0</v>
      </c>
      <c r="Y94" s="16" t="s">
        <v>230</v>
      </c>
      <c r="AC94" s="16" t="s">
        <v>722</v>
      </c>
      <c r="AD94" s="16" t="s">
        <v>114</v>
      </c>
      <c r="AF94" s="16">
        <f>COUNTIF($AE$2:$AE$250,AE94)</f>
        <v>0</v>
      </c>
    </row>
    <row r="95" spans="1:43" s="16" customFormat="1" ht="24" customHeight="1" x14ac:dyDescent="0.25">
      <c r="A95" s="16" t="s">
        <v>91</v>
      </c>
      <c r="B95" s="16" t="s">
        <v>91</v>
      </c>
      <c r="C95" s="17" t="s">
        <v>156</v>
      </c>
      <c r="D95" s="16" t="s">
        <v>103</v>
      </c>
      <c r="E95" s="16" t="s">
        <v>103</v>
      </c>
      <c r="F95" s="17" t="s">
        <v>104</v>
      </c>
      <c r="G95" s="16" t="s">
        <v>89</v>
      </c>
      <c r="R95" s="16" t="s">
        <v>691</v>
      </c>
      <c r="S95" s="16" t="s">
        <v>691</v>
      </c>
      <c r="T95" s="17" t="s">
        <v>695</v>
      </c>
      <c r="U95" s="16" t="s">
        <v>657</v>
      </c>
      <c r="V95" s="16" t="s">
        <v>657</v>
      </c>
      <c r="W95" s="17" t="s">
        <v>668</v>
      </c>
      <c r="X95" s="16">
        <v>1</v>
      </c>
      <c r="Y95" s="16" t="s">
        <v>230</v>
      </c>
      <c r="AC95" s="16" t="s">
        <v>722</v>
      </c>
      <c r="AE95" s="16" t="s">
        <v>67</v>
      </c>
      <c r="AF95" s="16">
        <f>COUNTIF($AE$2:$AE$250,AE95)</f>
        <v>1</v>
      </c>
      <c r="AG95" s="16" t="s">
        <v>67</v>
      </c>
      <c r="AH95" s="17"/>
      <c r="AI95" s="16" t="s">
        <v>158</v>
      </c>
      <c r="AJ95" s="16" t="s">
        <v>91</v>
      </c>
      <c r="AK95" s="16" t="s">
        <v>691</v>
      </c>
      <c r="AL95" s="16" t="s">
        <v>657</v>
      </c>
      <c r="AM95" s="16" t="s">
        <v>69</v>
      </c>
      <c r="AN95" s="16" t="s">
        <v>91</v>
      </c>
      <c r="AO95" s="16" t="s">
        <v>658</v>
      </c>
      <c r="AP95" s="16" t="s">
        <v>657</v>
      </c>
      <c r="AQ95" s="16" t="s">
        <v>70</v>
      </c>
    </row>
    <row r="96" spans="1:43" s="16" customFormat="1" ht="24" customHeight="1" x14ac:dyDescent="0.25">
      <c r="A96" s="16" t="s">
        <v>91</v>
      </c>
      <c r="B96" s="16" t="s">
        <v>91</v>
      </c>
      <c r="C96" s="17" t="s">
        <v>156</v>
      </c>
      <c r="D96" s="16" t="s">
        <v>103</v>
      </c>
      <c r="E96" s="16" t="s">
        <v>103</v>
      </c>
      <c r="F96" s="17" t="s">
        <v>104</v>
      </c>
      <c r="G96" s="16" t="s">
        <v>89</v>
      </c>
      <c r="R96" s="16" t="s">
        <v>691</v>
      </c>
      <c r="S96" s="16" t="s">
        <v>691</v>
      </c>
      <c r="T96" s="17" t="s">
        <v>695</v>
      </c>
      <c r="U96" s="16" t="s">
        <v>661</v>
      </c>
      <c r="V96" s="16" t="s">
        <v>661</v>
      </c>
      <c r="W96" s="17" t="s">
        <v>693</v>
      </c>
      <c r="X96" s="16">
        <v>2</v>
      </c>
      <c r="Y96" s="16" t="s">
        <v>230</v>
      </c>
      <c r="AC96" s="16" t="s">
        <v>722</v>
      </c>
      <c r="AE96" s="16" t="s">
        <v>697</v>
      </c>
      <c r="AF96" s="16">
        <f>COUNTIF($AE$2:$AE$250,AE96)</f>
        <v>1</v>
      </c>
      <c r="AG96" s="16" t="s">
        <v>697</v>
      </c>
      <c r="AH96" s="17"/>
      <c r="AI96" s="16" t="s">
        <v>158</v>
      </c>
      <c r="AJ96" s="16" t="s">
        <v>91</v>
      </c>
      <c r="AK96" s="16" t="s">
        <v>691</v>
      </c>
      <c r="AL96" s="16" t="s">
        <v>661</v>
      </c>
      <c r="AM96" s="16" t="s">
        <v>69</v>
      </c>
      <c r="AN96" s="16" t="s">
        <v>91</v>
      </c>
      <c r="AO96" s="16" t="s">
        <v>697</v>
      </c>
      <c r="AP96" s="16" t="s">
        <v>661</v>
      </c>
      <c r="AQ96" s="16" t="s">
        <v>70</v>
      </c>
    </row>
    <row r="97" spans="1:43" s="16" customFormat="1" ht="24" customHeight="1" x14ac:dyDescent="0.25">
      <c r="A97" s="16" t="s">
        <v>91</v>
      </c>
      <c r="B97" s="16" t="s">
        <v>91</v>
      </c>
      <c r="C97" s="17" t="s">
        <v>156</v>
      </c>
      <c r="D97" s="16" t="s">
        <v>103</v>
      </c>
      <c r="E97" s="16" t="s">
        <v>103</v>
      </c>
      <c r="F97" s="17" t="s">
        <v>104</v>
      </c>
      <c r="G97" s="16" t="s">
        <v>89</v>
      </c>
      <c r="R97" s="16" t="s">
        <v>691</v>
      </c>
      <c r="S97" s="16" t="s">
        <v>691</v>
      </c>
      <c r="T97" s="17" t="s">
        <v>695</v>
      </c>
      <c r="U97" s="16" t="s">
        <v>692</v>
      </c>
      <c r="V97" s="16" t="s">
        <v>692</v>
      </c>
      <c r="W97" s="17" t="s">
        <v>694</v>
      </c>
      <c r="X97" s="16">
        <v>3</v>
      </c>
      <c r="AC97" s="16" t="s">
        <v>722</v>
      </c>
      <c r="AF97" s="16">
        <f>COUNTIF($AE$2:$AE$250,AE97)</f>
        <v>0</v>
      </c>
      <c r="AH97" s="17"/>
    </row>
    <row r="98" spans="1:43" s="16" customFormat="1" ht="24" customHeight="1" x14ac:dyDescent="0.25">
      <c r="A98" s="16" t="s">
        <v>91</v>
      </c>
      <c r="B98" s="16" t="s">
        <v>91</v>
      </c>
      <c r="C98" s="17" t="s">
        <v>156</v>
      </c>
      <c r="D98" s="16" t="s">
        <v>103</v>
      </c>
      <c r="E98" s="16" t="s">
        <v>103</v>
      </c>
      <c r="F98" s="17" t="s">
        <v>104</v>
      </c>
      <c r="G98" s="16" t="s">
        <v>89</v>
      </c>
      <c r="R98" s="16" t="s">
        <v>658</v>
      </c>
      <c r="S98" s="16" t="s">
        <v>658</v>
      </c>
      <c r="T98" s="17" t="s">
        <v>659</v>
      </c>
      <c r="U98" s="16" t="s">
        <v>657</v>
      </c>
      <c r="V98" s="16" t="s">
        <v>657</v>
      </c>
      <c r="W98" s="17" t="s">
        <v>668</v>
      </c>
      <c r="X98" s="16">
        <v>0</v>
      </c>
      <c r="Y98" s="16" t="s">
        <v>230</v>
      </c>
      <c r="AC98" s="16" t="s">
        <v>722</v>
      </c>
      <c r="AD98" s="16" t="s">
        <v>114</v>
      </c>
      <c r="AF98" s="16">
        <f>COUNTIF($AE$2:$AE$250,AE98)</f>
        <v>0</v>
      </c>
      <c r="AH98" s="17"/>
    </row>
    <row r="99" spans="1:43" s="16" customFormat="1" ht="24" customHeight="1" x14ac:dyDescent="0.25">
      <c r="A99" s="16" t="s">
        <v>91</v>
      </c>
      <c r="B99" s="16" t="s">
        <v>91</v>
      </c>
      <c r="C99" s="17" t="s">
        <v>156</v>
      </c>
      <c r="D99" s="16" t="s">
        <v>103</v>
      </c>
      <c r="E99" s="16" t="s">
        <v>103</v>
      </c>
      <c r="F99" s="17" t="s">
        <v>104</v>
      </c>
      <c r="G99" s="16" t="s">
        <v>89</v>
      </c>
      <c r="R99" s="16" t="s">
        <v>658</v>
      </c>
      <c r="S99" s="16" t="s">
        <v>658</v>
      </c>
      <c r="T99" s="17" t="s">
        <v>659</v>
      </c>
      <c r="U99" s="16" t="s">
        <v>660</v>
      </c>
      <c r="V99" s="16" t="s">
        <v>660</v>
      </c>
      <c r="W99" s="17" t="s">
        <v>669</v>
      </c>
      <c r="X99" s="16">
        <v>1</v>
      </c>
      <c r="Y99" s="16" t="s">
        <v>583</v>
      </c>
      <c r="AC99" s="16" t="s">
        <v>722</v>
      </c>
      <c r="AF99" s="16">
        <f>COUNTIF($AE$2:$AE$250,AE99)</f>
        <v>0</v>
      </c>
      <c r="AH99" s="17"/>
    </row>
    <row r="100" spans="1:43" s="16" customFormat="1" ht="24" customHeight="1" x14ac:dyDescent="0.25">
      <c r="A100" s="16" t="s">
        <v>91</v>
      </c>
      <c r="B100" s="16" t="s">
        <v>91</v>
      </c>
      <c r="C100" s="17" t="s">
        <v>156</v>
      </c>
      <c r="D100" s="16" t="s">
        <v>103</v>
      </c>
      <c r="E100" s="16" t="s">
        <v>103</v>
      </c>
      <c r="F100" s="17" t="s">
        <v>104</v>
      </c>
      <c r="G100" s="16" t="s">
        <v>89</v>
      </c>
      <c r="R100" s="16" t="s">
        <v>658</v>
      </c>
      <c r="S100" s="16" t="s">
        <v>658</v>
      </c>
      <c r="T100" s="17" t="s">
        <v>659</v>
      </c>
      <c r="U100" s="16" t="s">
        <v>584</v>
      </c>
      <c r="V100" s="16" t="s">
        <v>584</v>
      </c>
      <c r="W100" s="17" t="s">
        <v>670</v>
      </c>
      <c r="X100" s="16">
        <v>2</v>
      </c>
      <c r="Y100" s="16" t="s">
        <v>583</v>
      </c>
      <c r="AC100" s="16" t="s">
        <v>722</v>
      </c>
      <c r="AF100" s="16">
        <f>COUNTIF($AE$2:$AE$250,AE100)</f>
        <v>0</v>
      </c>
      <c r="AH100" s="17"/>
    </row>
    <row r="101" spans="1:43" s="16" customFormat="1" ht="24" customHeight="1" x14ac:dyDescent="0.25">
      <c r="A101" s="16" t="s">
        <v>91</v>
      </c>
      <c r="B101" s="16" t="s">
        <v>91</v>
      </c>
      <c r="C101" s="17" t="s">
        <v>156</v>
      </c>
      <c r="D101" s="16" t="s">
        <v>103</v>
      </c>
      <c r="E101" s="16" t="s">
        <v>103</v>
      </c>
      <c r="F101" s="17" t="s">
        <v>104</v>
      </c>
      <c r="G101" s="16" t="s">
        <v>89</v>
      </c>
      <c r="R101" s="16" t="s">
        <v>671</v>
      </c>
      <c r="S101" s="16" t="s">
        <v>671</v>
      </c>
      <c r="T101" s="17" t="s">
        <v>672</v>
      </c>
      <c r="U101" s="16" t="s">
        <v>673</v>
      </c>
      <c r="V101" s="16" t="s">
        <v>673</v>
      </c>
      <c r="W101" s="17" t="s">
        <v>674</v>
      </c>
      <c r="X101" s="16">
        <v>0</v>
      </c>
      <c r="Y101" s="16" t="s">
        <v>230</v>
      </c>
      <c r="AC101" s="16" t="s">
        <v>722</v>
      </c>
      <c r="AD101" s="16" t="s">
        <v>114</v>
      </c>
      <c r="AF101" s="16">
        <f>COUNTIF($AE$2:$AE$250,AE101)</f>
        <v>0</v>
      </c>
      <c r="AH101" s="17"/>
    </row>
    <row r="102" spans="1:43" s="16" customFormat="1" ht="24" customHeight="1" x14ac:dyDescent="0.25">
      <c r="A102" s="16" t="s">
        <v>91</v>
      </c>
      <c r="B102" s="16" t="s">
        <v>91</v>
      </c>
      <c r="C102" s="17" t="s">
        <v>156</v>
      </c>
      <c r="D102" s="16" t="s">
        <v>103</v>
      </c>
      <c r="E102" s="16" t="s">
        <v>103</v>
      </c>
      <c r="F102" s="17" t="s">
        <v>104</v>
      </c>
      <c r="G102" s="16" t="s">
        <v>89</v>
      </c>
      <c r="R102" s="16" t="s">
        <v>671</v>
      </c>
      <c r="S102" s="16" t="s">
        <v>671</v>
      </c>
      <c r="T102" s="17" t="s">
        <v>672</v>
      </c>
      <c r="U102" s="16" t="s">
        <v>662</v>
      </c>
      <c r="V102" s="16" t="s">
        <v>662</v>
      </c>
      <c r="W102" s="17" t="s">
        <v>667</v>
      </c>
      <c r="X102" s="16">
        <v>1</v>
      </c>
      <c r="Y102" s="16" t="s">
        <v>548</v>
      </c>
      <c r="AC102" s="16" t="s">
        <v>722</v>
      </c>
      <c r="AF102" s="16">
        <f>COUNTIF($AE$2:$AE$250,AE102)</f>
        <v>0</v>
      </c>
      <c r="AH102" s="17"/>
    </row>
    <row r="103" spans="1:43" s="16" customFormat="1" ht="24" customHeight="1" x14ac:dyDescent="0.25">
      <c r="A103" s="16" t="s">
        <v>91</v>
      </c>
      <c r="B103" s="16" t="s">
        <v>91</v>
      </c>
      <c r="C103" s="17" t="s">
        <v>156</v>
      </c>
      <c r="D103" s="16" t="s">
        <v>103</v>
      </c>
      <c r="E103" s="16" t="s">
        <v>103</v>
      </c>
      <c r="F103" s="17" t="s">
        <v>104</v>
      </c>
      <c r="G103" s="16" t="s">
        <v>89</v>
      </c>
      <c r="R103" s="16" t="s">
        <v>671</v>
      </c>
      <c r="S103" s="16" t="s">
        <v>671</v>
      </c>
      <c r="T103" s="17" t="s">
        <v>672</v>
      </c>
      <c r="U103" s="16" t="s">
        <v>112</v>
      </c>
      <c r="V103" s="16" t="s">
        <v>112</v>
      </c>
      <c r="W103" s="17" t="s">
        <v>687</v>
      </c>
      <c r="X103" s="16">
        <v>2</v>
      </c>
      <c r="Y103" s="16" t="s">
        <v>230</v>
      </c>
      <c r="AC103" s="16" t="s">
        <v>114</v>
      </c>
      <c r="AE103" s="16" t="s">
        <v>709</v>
      </c>
      <c r="AF103" s="16">
        <f>COUNTIF($AE$2:$AE$250,AE103)</f>
        <v>1</v>
      </c>
      <c r="AG103" s="16" t="s">
        <v>709</v>
      </c>
      <c r="AH103" s="17"/>
      <c r="AI103" s="16" t="s">
        <v>158</v>
      </c>
      <c r="AJ103" s="16" t="s">
        <v>91</v>
      </c>
      <c r="AK103" s="16" t="s">
        <v>671</v>
      </c>
      <c r="AL103" s="16" t="s">
        <v>112</v>
      </c>
      <c r="AM103" s="16" t="s">
        <v>69</v>
      </c>
      <c r="AN103" s="16" t="s">
        <v>91</v>
      </c>
      <c r="AO103" s="16" t="s">
        <v>40</v>
      </c>
      <c r="AP103" s="16" t="s">
        <v>112</v>
      </c>
      <c r="AQ103" s="16" t="s">
        <v>70</v>
      </c>
    </row>
    <row r="104" spans="1:43" s="16" customFormat="1" ht="24" customHeight="1" x14ac:dyDescent="0.25">
      <c r="A104" s="16" t="s">
        <v>91</v>
      </c>
      <c r="B104" s="16" t="s">
        <v>91</v>
      </c>
      <c r="C104" s="17" t="s">
        <v>156</v>
      </c>
      <c r="D104" s="16" t="s">
        <v>103</v>
      </c>
      <c r="E104" s="16" t="s">
        <v>103</v>
      </c>
      <c r="F104" s="17" t="s">
        <v>104</v>
      </c>
      <c r="G104" s="16" t="s">
        <v>89</v>
      </c>
      <c r="R104" s="16" t="s">
        <v>671</v>
      </c>
      <c r="S104" s="16" t="s">
        <v>671</v>
      </c>
      <c r="T104" s="17" t="s">
        <v>672</v>
      </c>
      <c r="U104" s="16" t="s">
        <v>124</v>
      </c>
      <c r="V104" s="16" t="s">
        <v>124</v>
      </c>
      <c r="W104" s="17" t="s">
        <v>718</v>
      </c>
      <c r="X104" s="16">
        <v>3</v>
      </c>
      <c r="Y104" s="16" t="s">
        <v>230</v>
      </c>
      <c r="AC104" s="16" t="s">
        <v>114</v>
      </c>
      <c r="AE104" s="16" t="s">
        <v>719</v>
      </c>
      <c r="AF104" s="16">
        <f>COUNTIF($AE$2:$AE$250,AE104)</f>
        <v>1</v>
      </c>
      <c r="AG104" s="16" t="s">
        <v>719</v>
      </c>
      <c r="AH104" s="17"/>
      <c r="AI104" s="16" t="s">
        <v>158</v>
      </c>
      <c r="AJ104" s="16" t="s">
        <v>91</v>
      </c>
      <c r="AK104" s="16" t="s">
        <v>671</v>
      </c>
      <c r="AL104" s="16" t="s">
        <v>124</v>
      </c>
      <c r="AM104" s="16" t="s">
        <v>70</v>
      </c>
      <c r="AN104" s="16" t="s">
        <v>91</v>
      </c>
      <c r="AO104" s="16" t="s">
        <v>122</v>
      </c>
      <c r="AP104" s="16" t="s">
        <v>124</v>
      </c>
      <c r="AQ104" s="16" t="s">
        <v>70</v>
      </c>
    </row>
    <row r="105" spans="1:43" s="16" customFormat="1" ht="24" customHeight="1" x14ac:dyDescent="0.25">
      <c r="A105" s="16" t="s">
        <v>91</v>
      </c>
      <c r="B105" s="16" t="s">
        <v>91</v>
      </c>
      <c r="C105" s="17" t="s">
        <v>156</v>
      </c>
      <c r="D105" s="16" t="s">
        <v>103</v>
      </c>
      <c r="E105" s="16" t="s">
        <v>103</v>
      </c>
      <c r="F105" s="17" t="s">
        <v>104</v>
      </c>
      <c r="G105" s="16" t="s">
        <v>89</v>
      </c>
      <c r="R105" s="16" t="s">
        <v>671</v>
      </c>
      <c r="S105" s="16" t="s">
        <v>671</v>
      </c>
      <c r="T105" s="17" t="s">
        <v>672</v>
      </c>
      <c r="U105" s="16" t="s">
        <v>656</v>
      </c>
      <c r="V105" s="16" t="s">
        <v>656</v>
      </c>
      <c r="W105" s="17" t="s">
        <v>686</v>
      </c>
      <c r="X105" s="16">
        <v>4</v>
      </c>
      <c r="Y105" s="16" t="s">
        <v>583</v>
      </c>
      <c r="AC105" s="16" t="s">
        <v>722</v>
      </c>
      <c r="AF105" s="16">
        <f>COUNTIF($AE$2:$AE$250,AE105)</f>
        <v>0</v>
      </c>
      <c r="AH105" s="17"/>
    </row>
    <row r="106" spans="1:43" s="16" customFormat="1" ht="24" customHeight="1" x14ac:dyDescent="0.25">
      <c r="A106" s="16" t="s">
        <v>91</v>
      </c>
      <c r="B106" s="16" t="s">
        <v>91</v>
      </c>
      <c r="C106" s="17" t="s">
        <v>156</v>
      </c>
      <c r="D106" s="16" t="s">
        <v>103</v>
      </c>
      <c r="E106" s="16" t="s">
        <v>103</v>
      </c>
      <c r="F106" s="17" t="s">
        <v>104</v>
      </c>
      <c r="G106" s="16" t="s">
        <v>89</v>
      </c>
      <c r="R106" s="16" t="s">
        <v>671</v>
      </c>
      <c r="S106" s="16" t="s">
        <v>671</v>
      </c>
      <c r="T106" s="17" t="s">
        <v>672</v>
      </c>
      <c r="U106" s="16" t="s">
        <v>655</v>
      </c>
      <c r="V106" s="16" t="s">
        <v>655</v>
      </c>
      <c r="W106" s="17" t="s">
        <v>666</v>
      </c>
      <c r="X106" s="16">
        <v>5</v>
      </c>
      <c r="Y106" s="16" t="s">
        <v>583</v>
      </c>
      <c r="AC106" s="16" t="s">
        <v>722</v>
      </c>
      <c r="AF106" s="16">
        <f>COUNTIF($AE$2:$AE$250,AE106)</f>
        <v>0</v>
      </c>
      <c r="AH106" s="17"/>
    </row>
    <row r="107" spans="1:43" s="16" customFormat="1" ht="24" customHeight="1" x14ac:dyDescent="0.25">
      <c r="A107" s="16" t="s">
        <v>91</v>
      </c>
      <c r="B107" s="16" t="s">
        <v>91</v>
      </c>
      <c r="C107" s="17" t="s">
        <v>156</v>
      </c>
      <c r="D107" s="16" t="s">
        <v>103</v>
      </c>
      <c r="E107" s="16" t="s">
        <v>103</v>
      </c>
      <c r="F107" s="17" t="s">
        <v>104</v>
      </c>
      <c r="G107" s="16" t="s">
        <v>89</v>
      </c>
      <c r="R107" s="16" t="s">
        <v>671</v>
      </c>
      <c r="S107" s="16" t="s">
        <v>671</v>
      </c>
      <c r="T107" s="17" t="s">
        <v>672</v>
      </c>
      <c r="U107" s="16" t="s">
        <v>584</v>
      </c>
      <c r="V107" s="16" t="s">
        <v>584</v>
      </c>
      <c r="W107" s="17" t="s">
        <v>677</v>
      </c>
      <c r="X107" s="16">
        <v>6</v>
      </c>
      <c r="Y107" s="16" t="s">
        <v>583</v>
      </c>
      <c r="AC107" s="16" t="s">
        <v>722</v>
      </c>
      <c r="AF107" s="16">
        <f>COUNTIF($AE$2:$AE$250,AE107)</f>
        <v>0</v>
      </c>
      <c r="AH107" s="17"/>
    </row>
    <row r="108" spans="1:43" s="16" customFormat="1" ht="24" customHeight="1" x14ac:dyDescent="0.25">
      <c r="A108" s="16" t="s">
        <v>91</v>
      </c>
      <c r="B108" s="16" t="s">
        <v>91</v>
      </c>
      <c r="C108" s="17" t="s">
        <v>156</v>
      </c>
      <c r="D108" s="16" t="s">
        <v>103</v>
      </c>
      <c r="E108" s="16" t="s">
        <v>103</v>
      </c>
      <c r="F108" s="17" t="s">
        <v>104</v>
      </c>
      <c r="G108" s="16" t="s">
        <v>89</v>
      </c>
      <c r="R108" s="16" t="s">
        <v>671</v>
      </c>
      <c r="S108" s="16" t="s">
        <v>671</v>
      </c>
      <c r="T108" s="17" t="s">
        <v>672</v>
      </c>
      <c r="U108" s="16" t="s">
        <v>386</v>
      </c>
      <c r="V108" s="16" t="s">
        <v>386</v>
      </c>
      <c r="W108" s="17" t="s">
        <v>678</v>
      </c>
      <c r="X108" s="16">
        <v>7</v>
      </c>
      <c r="Y108" s="16" t="s">
        <v>583</v>
      </c>
      <c r="AC108" s="16" t="s">
        <v>114</v>
      </c>
      <c r="AF108" s="16">
        <f>COUNTIF($AE$2:$AE$250,AE108)</f>
        <v>0</v>
      </c>
      <c r="AH108" s="17"/>
    </row>
    <row r="109" spans="1:43" s="16" customFormat="1" ht="24" customHeight="1" x14ac:dyDescent="0.25">
      <c r="A109" s="16" t="s">
        <v>91</v>
      </c>
      <c r="B109" s="16" t="s">
        <v>91</v>
      </c>
      <c r="C109" s="17" t="s">
        <v>156</v>
      </c>
      <c r="D109" s="16" t="s">
        <v>103</v>
      </c>
      <c r="E109" s="16" t="s">
        <v>103</v>
      </c>
      <c r="F109" s="17" t="s">
        <v>104</v>
      </c>
      <c r="G109" s="16" t="s">
        <v>89</v>
      </c>
      <c r="R109" s="16" t="s">
        <v>671</v>
      </c>
      <c r="S109" s="16" t="s">
        <v>671</v>
      </c>
      <c r="T109" s="17" t="s">
        <v>672</v>
      </c>
      <c r="U109" s="16" t="s">
        <v>176</v>
      </c>
      <c r="V109" s="16" t="s">
        <v>176</v>
      </c>
      <c r="W109" s="17" t="s">
        <v>679</v>
      </c>
      <c r="X109" s="16">
        <v>8</v>
      </c>
      <c r="Y109" s="16" t="s">
        <v>706</v>
      </c>
      <c r="AC109" s="16" t="s">
        <v>114</v>
      </c>
      <c r="AF109" s="16">
        <f>COUNTIF($AE$2:$AE$250,AE109)</f>
        <v>0</v>
      </c>
      <c r="AH109" s="17"/>
    </row>
    <row r="110" spans="1:43" s="16" customFormat="1" ht="24" customHeight="1" x14ac:dyDescent="0.25">
      <c r="A110" s="16" t="s">
        <v>91</v>
      </c>
      <c r="B110" s="16" t="s">
        <v>91</v>
      </c>
      <c r="C110" s="17" t="s">
        <v>156</v>
      </c>
      <c r="D110" s="16" t="s">
        <v>103</v>
      </c>
      <c r="E110" s="16" t="s">
        <v>103</v>
      </c>
      <c r="F110" s="17" t="s">
        <v>104</v>
      </c>
      <c r="G110" s="16" t="s">
        <v>89</v>
      </c>
      <c r="R110" s="16" t="s">
        <v>671</v>
      </c>
      <c r="S110" s="16" t="s">
        <v>671</v>
      </c>
      <c r="T110" s="17" t="s">
        <v>672</v>
      </c>
      <c r="U110" s="16" t="s">
        <v>688</v>
      </c>
      <c r="V110" s="16" t="s">
        <v>688</v>
      </c>
      <c r="W110" s="17" t="s">
        <v>689</v>
      </c>
      <c r="X110" s="16">
        <v>9</v>
      </c>
      <c r="Y110" s="16" t="s">
        <v>548</v>
      </c>
      <c r="AC110" s="16" t="s">
        <v>114</v>
      </c>
      <c r="AF110" s="16">
        <f>COUNTIF($AE$2:$AE$250,AE110)</f>
        <v>0</v>
      </c>
      <c r="AH110" s="17"/>
    </row>
    <row r="111" spans="1:43" s="16" customFormat="1" ht="24" customHeight="1" x14ac:dyDescent="0.25">
      <c r="A111" s="16" t="s">
        <v>91</v>
      </c>
      <c r="B111" s="16" t="s">
        <v>91</v>
      </c>
      <c r="C111" s="17" t="s">
        <v>156</v>
      </c>
      <c r="D111" s="16" t="s">
        <v>103</v>
      </c>
      <c r="E111" s="16" t="s">
        <v>103</v>
      </c>
      <c r="F111" s="17" t="s">
        <v>104</v>
      </c>
      <c r="G111" s="16" t="s">
        <v>89</v>
      </c>
      <c r="R111" s="16" t="s">
        <v>92</v>
      </c>
      <c r="S111" s="16" t="s">
        <v>92</v>
      </c>
      <c r="T111" s="17" t="s">
        <v>93</v>
      </c>
      <c r="U111" s="16" t="s">
        <v>653</v>
      </c>
      <c r="V111" s="16" t="s">
        <v>653</v>
      </c>
      <c r="W111" s="17" t="s">
        <v>663</v>
      </c>
      <c r="X111" s="16">
        <v>0</v>
      </c>
      <c r="Y111" s="16" t="s">
        <v>230</v>
      </c>
      <c r="AC111" s="16" t="s">
        <v>722</v>
      </c>
      <c r="AD111" s="16" t="s">
        <v>114</v>
      </c>
      <c r="AF111" s="16">
        <f>COUNTIF($AE$2:$AE$250,AE111)</f>
        <v>0</v>
      </c>
      <c r="AH111" s="17"/>
    </row>
    <row r="112" spans="1:43" s="16" customFormat="1" ht="24" customHeight="1" x14ac:dyDescent="0.25">
      <c r="A112" s="16" t="s">
        <v>91</v>
      </c>
      <c r="B112" s="16" t="s">
        <v>91</v>
      </c>
      <c r="C112" s="17" t="s">
        <v>156</v>
      </c>
      <c r="D112" s="16" t="s">
        <v>103</v>
      </c>
      <c r="E112" s="16" t="s">
        <v>103</v>
      </c>
      <c r="F112" s="17" t="s">
        <v>104</v>
      </c>
      <c r="G112" s="16" t="s">
        <v>89</v>
      </c>
      <c r="R112" s="16" t="s">
        <v>92</v>
      </c>
      <c r="S112" s="16" t="s">
        <v>92</v>
      </c>
      <c r="T112" s="17" t="s">
        <v>93</v>
      </c>
      <c r="U112" s="16" t="s">
        <v>657</v>
      </c>
      <c r="V112" s="16" t="s">
        <v>657</v>
      </c>
      <c r="W112" s="17" t="s">
        <v>668</v>
      </c>
      <c r="X112" s="16">
        <v>1</v>
      </c>
      <c r="Y112" s="16" t="s">
        <v>230</v>
      </c>
      <c r="AC112" s="16" t="s">
        <v>722</v>
      </c>
      <c r="AE112" s="16" t="s">
        <v>710</v>
      </c>
      <c r="AF112" s="16">
        <f>COUNTIF($AE$2:$AE$250,AE112)</f>
        <v>1</v>
      </c>
      <c r="AH112" s="17"/>
      <c r="AI112" s="16" t="s">
        <v>158</v>
      </c>
      <c r="AJ112" s="16" t="s">
        <v>91</v>
      </c>
      <c r="AK112" s="16" t="s">
        <v>92</v>
      </c>
      <c r="AL112" s="16" t="s">
        <v>657</v>
      </c>
      <c r="AM112" s="16" t="s">
        <v>69</v>
      </c>
      <c r="AN112" s="16" t="s">
        <v>91</v>
      </c>
      <c r="AO112" s="16" t="s">
        <v>658</v>
      </c>
      <c r="AP112" s="16" t="s">
        <v>657</v>
      </c>
      <c r="AQ112" s="16" t="s">
        <v>70</v>
      </c>
    </row>
    <row r="113" spans="1:43" s="16" customFormat="1" ht="24" customHeight="1" x14ac:dyDescent="0.25">
      <c r="A113" s="16" t="s">
        <v>91</v>
      </c>
      <c r="B113" s="16" t="s">
        <v>91</v>
      </c>
      <c r="C113" s="17" t="s">
        <v>156</v>
      </c>
      <c r="D113" s="16" t="s">
        <v>103</v>
      </c>
      <c r="E113" s="16" t="s">
        <v>103</v>
      </c>
      <c r="F113" s="17" t="s">
        <v>104</v>
      </c>
      <c r="G113" s="16" t="s">
        <v>89</v>
      </c>
      <c r="R113" s="16" t="s">
        <v>92</v>
      </c>
      <c r="S113" s="16" t="s">
        <v>92</v>
      </c>
      <c r="T113" s="17" t="s">
        <v>93</v>
      </c>
      <c r="U113" s="16" t="s">
        <v>673</v>
      </c>
      <c r="V113" s="16" t="s">
        <v>673</v>
      </c>
      <c r="W113" s="17" t="s">
        <v>681</v>
      </c>
      <c r="X113" s="16">
        <v>2</v>
      </c>
      <c r="Y113" s="16" t="s">
        <v>230</v>
      </c>
      <c r="AC113" s="16" t="s">
        <v>722</v>
      </c>
      <c r="AE113" s="16" t="s">
        <v>711</v>
      </c>
      <c r="AF113" s="16">
        <f>COUNTIF($AE$2:$AE$250,AE113)</f>
        <v>1</v>
      </c>
      <c r="AH113" s="17"/>
      <c r="AI113" s="16" t="s">
        <v>158</v>
      </c>
      <c r="AJ113" s="16" t="s">
        <v>91</v>
      </c>
      <c r="AK113" s="16" t="s">
        <v>92</v>
      </c>
      <c r="AL113" s="16" t="s">
        <v>673</v>
      </c>
      <c r="AM113" s="16" t="s">
        <v>69</v>
      </c>
      <c r="AN113" s="16" t="s">
        <v>91</v>
      </c>
      <c r="AO113" s="16" t="s">
        <v>671</v>
      </c>
      <c r="AP113" s="16" t="s">
        <v>673</v>
      </c>
      <c r="AQ113" s="16" t="s">
        <v>70</v>
      </c>
    </row>
    <row r="114" spans="1:43" s="16" customFormat="1" ht="24" customHeight="1" x14ac:dyDescent="0.25">
      <c r="A114" s="16" t="s">
        <v>91</v>
      </c>
      <c r="B114" s="16" t="s">
        <v>91</v>
      </c>
      <c r="C114" s="17" t="s">
        <v>156</v>
      </c>
      <c r="D114" s="16" t="s">
        <v>103</v>
      </c>
      <c r="E114" s="16" t="s">
        <v>103</v>
      </c>
      <c r="F114" s="17" t="s">
        <v>104</v>
      </c>
      <c r="G114" s="16" t="s">
        <v>89</v>
      </c>
      <c r="R114" s="16" t="s">
        <v>92</v>
      </c>
      <c r="S114" s="16" t="s">
        <v>92</v>
      </c>
      <c r="T114" s="17" t="s">
        <v>93</v>
      </c>
      <c r="U114" s="16" t="s">
        <v>654</v>
      </c>
      <c r="V114" s="16" t="s">
        <v>654</v>
      </c>
      <c r="W114" s="17" t="s">
        <v>664</v>
      </c>
      <c r="X114" s="16">
        <v>3</v>
      </c>
      <c r="Y114" s="16" t="s">
        <v>583</v>
      </c>
      <c r="AC114" s="16" t="s">
        <v>722</v>
      </c>
      <c r="AF114" s="16">
        <f>COUNTIF($AE$2:$AE$250,AE114)</f>
        <v>0</v>
      </c>
      <c r="AH114" s="17"/>
    </row>
    <row r="115" spans="1:43" s="16" customFormat="1" ht="24" customHeight="1" x14ac:dyDescent="0.25">
      <c r="A115" s="16" t="s">
        <v>91</v>
      </c>
      <c r="B115" s="16" t="s">
        <v>91</v>
      </c>
      <c r="C115" s="17" t="s">
        <v>156</v>
      </c>
      <c r="D115" s="16" t="s">
        <v>103</v>
      </c>
      <c r="E115" s="16" t="s">
        <v>103</v>
      </c>
      <c r="F115" s="17" t="s">
        <v>104</v>
      </c>
      <c r="G115" s="16" t="s">
        <v>89</v>
      </c>
      <c r="R115" s="16" t="s">
        <v>92</v>
      </c>
      <c r="S115" s="16" t="s">
        <v>92</v>
      </c>
      <c r="T115" s="17" t="s">
        <v>93</v>
      </c>
      <c r="U115" s="16" t="s">
        <v>575</v>
      </c>
      <c r="V115" s="16" t="s">
        <v>575</v>
      </c>
      <c r="W115" s="17" t="s">
        <v>665</v>
      </c>
      <c r="X115" s="16">
        <v>4</v>
      </c>
      <c r="Y115" s="16" t="s">
        <v>586</v>
      </c>
      <c r="AC115" s="16" t="s">
        <v>722</v>
      </c>
      <c r="AF115" s="16">
        <f>COUNTIF($AE$2:$AE$250,AE115)</f>
        <v>0</v>
      </c>
      <c r="AH115" s="17"/>
    </row>
    <row r="116" spans="1:43" s="16" customFormat="1" ht="24" customHeight="1" x14ac:dyDescent="0.25">
      <c r="A116" s="16" t="s">
        <v>91</v>
      </c>
      <c r="B116" s="16" t="s">
        <v>91</v>
      </c>
      <c r="C116" s="17" t="s">
        <v>156</v>
      </c>
      <c r="D116" s="16" t="s">
        <v>103</v>
      </c>
      <c r="E116" s="16" t="s">
        <v>103</v>
      </c>
      <c r="F116" s="17" t="s">
        <v>104</v>
      </c>
      <c r="G116" s="16" t="s">
        <v>89</v>
      </c>
      <c r="R116" s="16" t="s">
        <v>92</v>
      </c>
      <c r="S116" s="16" t="s">
        <v>92</v>
      </c>
      <c r="T116" s="17" t="s">
        <v>93</v>
      </c>
      <c r="U116" s="16" t="s">
        <v>584</v>
      </c>
      <c r="V116" s="16" t="s">
        <v>584</v>
      </c>
      <c r="W116" s="17" t="s">
        <v>680</v>
      </c>
      <c r="X116" s="16">
        <v>5</v>
      </c>
      <c r="Y116" s="16" t="s">
        <v>583</v>
      </c>
      <c r="AC116" s="16" t="s">
        <v>722</v>
      </c>
      <c r="AF116" s="16">
        <f>COUNTIF($AE$2:$AE$250,AE116)</f>
        <v>0</v>
      </c>
      <c r="AH116" s="17"/>
    </row>
    <row r="117" spans="1:43" s="16" customFormat="1" ht="24" customHeight="1" x14ac:dyDescent="0.25">
      <c r="A117" s="16" t="s">
        <v>91</v>
      </c>
      <c r="B117" s="16" t="s">
        <v>91</v>
      </c>
      <c r="C117" s="17" t="s">
        <v>156</v>
      </c>
      <c r="D117" s="16" t="s">
        <v>103</v>
      </c>
      <c r="E117" s="16" t="s">
        <v>103</v>
      </c>
      <c r="F117" s="17" t="s">
        <v>104</v>
      </c>
      <c r="G117" s="16" t="s">
        <v>89</v>
      </c>
      <c r="R117" s="16" t="s">
        <v>92</v>
      </c>
      <c r="S117" s="16" t="s">
        <v>92</v>
      </c>
      <c r="T117" s="17" t="s">
        <v>93</v>
      </c>
      <c r="U117" s="16" t="s">
        <v>684</v>
      </c>
      <c r="V117" s="16" t="s">
        <v>684</v>
      </c>
      <c r="W117" s="17" t="s">
        <v>685</v>
      </c>
      <c r="X117" s="16">
        <v>6</v>
      </c>
      <c r="Y117" s="16" t="s">
        <v>583</v>
      </c>
      <c r="AC117" s="16" t="s">
        <v>722</v>
      </c>
      <c r="AF117" s="16">
        <f>COUNTIF($AE$2:$AE$250,AE117)</f>
        <v>0</v>
      </c>
      <c r="AH117" s="17"/>
    </row>
    <row r="118" spans="1:43" s="16" customFormat="1" ht="24" customHeight="1" x14ac:dyDescent="0.25">
      <c r="A118" s="16" t="s">
        <v>91</v>
      </c>
      <c r="B118" s="16" t="s">
        <v>91</v>
      </c>
      <c r="C118" s="17" t="s">
        <v>156</v>
      </c>
      <c r="D118" s="16" t="s">
        <v>103</v>
      </c>
      <c r="E118" s="16" t="s">
        <v>103</v>
      </c>
      <c r="F118" s="17" t="s">
        <v>104</v>
      </c>
      <c r="G118" s="16" t="s">
        <v>89</v>
      </c>
      <c r="R118" s="16" t="s">
        <v>92</v>
      </c>
      <c r="S118" s="16" t="s">
        <v>92</v>
      </c>
      <c r="T118" s="17" t="s">
        <v>93</v>
      </c>
      <c r="U118" s="16" t="s">
        <v>675</v>
      </c>
      <c r="V118" s="16" t="s">
        <v>675</v>
      </c>
      <c r="W118" s="17" t="s">
        <v>676</v>
      </c>
      <c r="X118" s="16">
        <v>7</v>
      </c>
      <c r="Y118" s="16" t="s">
        <v>583</v>
      </c>
      <c r="AC118" s="16" t="s">
        <v>722</v>
      </c>
      <c r="AF118" s="16">
        <f>COUNTIF($AE$2:$AE$250,AE118)</f>
        <v>0</v>
      </c>
      <c r="AH118" s="17"/>
    </row>
    <row r="119" spans="1:43" s="16" customFormat="1" ht="24" customHeight="1" x14ac:dyDescent="0.25">
      <c r="A119" s="16" t="s">
        <v>91</v>
      </c>
      <c r="B119" s="16" t="s">
        <v>91</v>
      </c>
      <c r="C119" s="17" t="s">
        <v>156</v>
      </c>
      <c r="D119" s="16" t="s">
        <v>103</v>
      </c>
      <c r="E119" s="16" t="s">
        <v>103</v>
      </c>
      <c r="F119" s="17" t="s">
        <v>104</v>
      </c>
      <c r="G119" s="16" t="s">
        <v>89</v>
      </c>
      <c r="R119" s="16" t="s">
        <v>92</v>
      </c>
      <c r="S119" s="16" t="s">
        <v>92</v>
      </c>
      <c r="T119" s="17" t="s">
        <v>93</v>
      </c>
      <c r="U119" s="16" t="s">
        <v>682</v>
      </c>
      <c r="V119" s="16" t="s">
        <v>682</v>
      </c>
      <c r="W119" s="17" t="s">
        <v>683</v>
      </c>
      <c r="X119" s="16">
        <v>8</v>
      </c>
      <c r="Y119" s="16" t="s">
        <v>548</v>
      </c>
      <c r="AC119" s="16" t="s">
        <v>722</v>
      </c>
      <c r="AF119" s="16">
        <f>COUNTIF($AE$2:$AE$250,AE119)</f>
        <v>0</v>
      </c>
      <c r="AH119" s="17"/>
    </row>
    <row r="120" spans="1:43" s="16" customFormat="1" ht="24" customHeight="1" x14ac:dyDescent="0.25">
      <c r="A120" s="16" t="s">
        <v>91</v>
      </c>
      <c r="B120" s="16" t="s">
        <v>91</v>
      </c>
      <c r="C120" s="17" t="s">
        <v>156</v>
      </c>
      <c r="D120" s="16" t="s">
        <v>103</v>
      </c>
      <c r="E120" s="16" t="s">
        <v>103</v>
      </c>
      <c r="F120" s="17" t="s">
        <v>104</v>
      </c>
      <c r="G120" s="16" t="s">
        <v>89</v>
      </c>
      <c r="R120" s="16" t="s">
        <v>98</v>
      </c>
      <c r="S120" s="16" t="s">
        <v>98</v>
      </c>
      <c r="T120" s="17" t="s">
        <v>111</v>
      </c>
      <c r="V120" s="17"/>
      <c r="W120" s="17"/>
      <c r="AF120" s="16">
        <f>COUNTIF($AE$2:$AE$250,AE120)</f>
        <v>0</v>
      </c>
      <c r="AH120" s="17"/>
    </row>
    <row r="121" spans="1:43" s="16" customFormat="1" ht="24" customHeight="1" x14ac:dyDescent="0.25">
      <c r="A121" s="16" t="s">
        <v>91</v>
      </c>
      <c r="B121" s="16" t="s">
        <v>91</v>
      </c>
      <c r="C121" s="17" t="s">
        <v>156</v>
      </c>
      <c r="D121" s="16" t="s">
        <v>40</v>
      </c>
      <c r="E121" s="16" t="s">
        <v>40</v>
      </c>
      <c r="F121" s="17" t="s">
        <v>99</v>
      </c>
      <c r="G121" s="16" t="s">
        <v>89</v>
      </c>
      <c r="R121" s="16" t="s">
        <v>97</v>
      </c>
      <c r="S121" s="16" t="s">
        <v>97</v>
      </c>
      <c r="T121" s="17" t="s">
        <v>391</v>
      </c>
      <c r="U121" s="16" t="s">
        <v>298</v>
      </c>
      <c r="V121" s="16" t="s">
        <v>298</v>
      </c>
      <c r="W121" s="17" t="s">
        <v>396</v>
      </c>
      <c r="X121" s="16">
        <v>0</v>
      </c>
      <c r="Y121" s="16" t="s">
        <v>230</v>
      </c>
      <c r="AC121" s="16" t="s">
        <v>722</v>
      </c>
      <c r="AD121" s="16" t="s">
        <v>114</v>
      </c>
      <c r="AF121" s="16">
        <f>COUNTIF($AE$2:$AE$250,AE121)</f>
        <v>0</v>
      </c>
      <c r="AH121" s="17"/>
    </row>
    <row r="122" spans="1:43" s="16" customFormat="1" ht="24" customHeight="1" x14ac:dyDescent="0.25">
      <c r="A122" s="16" t="s">
        <v>91</v>
      </c>
      <c r="B122" s="16" t="s">
        <v>91</v>
      </c>
      <c r="C122" s="17" t="s">
        <v>156</v>
      </c>
      <c r="D122" s="16" t="s">
        <v>40</v>
      </c>
      <c r="E122" s="16" t="s">
        <v>40</v>
      </c>
      <c r="F122" s="17" t="s">
        <v>99</v>
      </c>
      <c r="G122" s="16" t="s">
        <v>89</v>
      </c>
      <c r="R122" s="16" t="s">
        <v>97</v>
      </c>
      <c r="S122" s="16" t="s">
        <v>97</v>
      </c>
      <c r="T122" s="17" t="s">
        <v>391</v>
      </c>
      <c r="U122" s="16" t="s">
        <v>357</v>
      </c>
      <c r="V122" s="16" t="s">
        <v>357</v>
      </c>
      <c r="W122" s="17" t="s">
        <v>630</v>
      </c>
      <c r="X122" s="16">
        <v>1</v>
      </c>
      <c r="Y122" s="16" t="s">
        <v>230</v>
      </c>
      <c r="AC122" s="16" t="s">
        <v>722</v>
      </c>
      <c r="AE122" s="16" t="s">
        <v>307</v>
      </c>
      <c r="AF122" s="16">
        <f>COUNTIF($AE$2:$AE$250,AE122)</f>
        <v>1</v>
      </c>
      <c r="AG122" s="16" t="s">
        <v>307</v>
      </c>
      <c r="AH122" s="17"/>
      <c r="AI122" s="16" t="s">
        <v>158</v>
      </c>
      <c r="AJ122" s="16" t="s">
        <v>91</v>
      </c>
      <c r="AK122" s="16" t="s">
        <v>97</v>
      </c>
      <c r="AL122" s="16" t="s">
        <v>357</v>
      </c>
      <c r="AM122" s="16" t="s">
        <v>69</v>
      </c>
      <c r="AN122" s="16" t="s">
        <v>91</v>
      </c>
      <c r="AO122" s="16" t="s">
        <v>351</v>
      </c>
      <c r="AP122" s="16" t="s">
        <v>357</v>
      </c>
      <c r="AQ122" s="16" t="s">
        <v>70</v>
      </c>
    </row>
    <row r="123" spans="1:43" s="16" customFormat="1" ht="24" customHeight="1" x14ac:dyDescent="0.25">
      <c r="A123" s="16" t="s">
        <v>91</v>
      </c>
      <c r="B123" s="16" t="s">
        <v>91</v>
      </c>
      <c r="C123" s="17" t="s">
        <v>156</v>
      </c>
      <c r="D123" s="16" t="s">
        <v>40</v>
      </c>
      <c r="E123" s="16" t="s">
        <v>40</v>
      </c>
      <c r="F123" s="17" t="s">
        <v>99</v>
      </c>
      <c r="G123" s="16" t="s">
        <v>89</v>
      </c>
      <c r="R123" s="16" t="s">
        <v>97</v>
      </c>
      <c r="S123" s="16" t="s">
        <v>97</v>
      </c>
      <c r="T123" s="17" t="s">
        <v>391</v>
      </c>
      <c r="U123" s="16" t="s">
        <v>299</v>
      </c>
      <c r="V123" s="16" t="s">
        <v>299</v>
      </c>
      <c r="W123" s="17" t="s">
        <v>392</v>
      </c>
      <c r="X123" s="16">
        <v>2</v>
      </c>
      <c r="Y123" s="16" t="s">
        <v>586</v>
      </c>
      <c r="AA123" s="16" t="s">
        <v>303</v>
      </c>
      <c r="AC123" s="16" t="s">
        <v>722</v>
      </c>
      <c r="AF123" s="16">
        <f>COUNTIF($AE$2:$AE$250,AE123)</f>
        <v>0</v>
      </c>
      <c r="AH123" s="17"/>
    </row>
    <row r="124" spans="1:43" s="16" customFormat="1" ht="24" customHeight="1" x14ac:dyDescent="0.25">
      <c r="A124" s="16" t="s">
        <v>91</v>
      </c>
      <c r="B124" s="16" t="s">
        <v>91</v>
      </c>
      <c r="C124" s="17" t="s">
        <v>156</v>
      </c>
      <c r="D124" s="16" t="s">
        <v>40</v>
      </c>
      <c r="E124" s="16" t="s">
        <v>40</v>
      </c>
      <c r="F124" s="17" t="s">
        <v>99</v>
      </c>
      <c r="G124" s="16" t="s">
        <v>89</v>
      </c>
      <c r="R124" s="16" t="s">
        <v>97</v>
      </c>
      <c r="S124" s="16" t="s">
        <v>97</v>
      </c>
      <c r="T124" s="17" t="s">
        <v>391</v>
      </c>
      <c r="U124" s="16" t="s">
        <v>300</v>
      </c>
      <c r="V124" s="16" t="s">
        <v>300</v>
      </c>
      <c r="W124" s="17" t="s">
        <v>393</v>
      </c>
      <c r="X124" s="16">
        <v>3</v>
      </c>
      <c r="Y124" s="16" t="s">
        <v>583</v>
      </c>
      <c r="AA124" s="16" t="s">
        <v>304</v>
      </c>
      <c r="AC124" s="16" t="s">
        <v>722</v>
      </c>
      <c r="AF124" s="16">
        <f>COUNTIF($AE$2:$AE$250,AE124)</f>
        <v>0</v>
      </c>
      <c r="AH124" s="17"/>
    </row>
    <row r="125" spans="1:43" s="16" customFormat="1" ht="24" customHeight="1" x14ac:dyDescent="0.25">
      <c r="A125" s="16" t="s">
        <v>91</v>
      </c>
      <c r="B125" s="16" t="s">
        <v>91</v>
      </c>
      <c r="C125" s="17" t="s">
        <v>156</v>
      </c>
      <c r="D125" s="16" t="s">
        <v>40</v>
      </c>
      <c r="E125" s="16" t="s">
        <v>40</v>
      </c>
      <c r="F125" s="17" t="s">
        <v>99</v>
      </c>
      <c r="G125" s="16" t="s">
        <v>89</v>
      </c>
      <c r="R125" s="16" t="s">
        <v>97</v>
      </c>
      <c r="S125" s="16" t="s">
        <v>97</v>
      </c>
      <c r="T125" s="17" t="s">
        <v>391</v>
      </c>
      <c r="U125" s="16" t="s">
        <v>301</v>
      </c>
      <c r="V125" s="16" t="s">
        <v>301</v>
      </c>
      <c r="W125" s="17" t="s">
        <v>394</v>
      </c>
      <c r="X125" s="16">
        <v>4</v>
      </c>
      <c r="Y125" s="16" t="s">
        <v>230</v>
      </c>
      <c r="AA125" s="16" t="s">
        <v>305</v>
      </c>
      <c r="AC125" s="16" t="s">
        <v>722</v>
      </c>
      <c r="AE125" s="16" t="s">
        <v>629</v>
      </c>
      <c r="AF125" s="16">
        <f>COUNTIF($AE$2:$AE$250,AE125)</f>
        <v>1</v>
      </c>
      <c r="AG125" s="16" t="s">
        <v>629</v>
      </c>
      <c r="AH125" s="17"/>
      <c r="AI125" s="16" t="s">
        <v>158</v>
      </c>
      <c r="AJ125" s="16" t="s">
        <v>91</v>
      </c>
      <c r="AK125" s="16" t="s">
        <v>97</v>
      </c>
      <c r="AL125" s="16" t="s">
        <v>301</v>
      </c>
      <c r="AM125" s="16" t="s">
        <v>70</v>
      </c>
      <c r="AN125" s="16" t="s">
        <v>91</v>
      </c>
      <c r="AO125" s="16" t="s">
        <v>217</v>
      </c>
      <c r="AP125" s="16" t="s">
        <v>229</v>
      </c>
      <c r="AQ125" s="16" t="s">
        <v>70</v>
      </c>
    </row>
    <row r="126" spans="1:43" s="16" customFormat="1" ht="24" customHeight="1" x14ac:dyDescent="0.25">
      <c r="A126" s="16" t="s">
        <v>91</v>
      </c>
      <c r="B126" s="16" t="s">
        <v>91</v>
      </c>
      <c r="C126" s="17" t="s">
        <v>156</v>
      </c>
      <c r="D126" s="16" t="s">
        <v>40</v>
      </c>
      <c r="E126" s="16" t="s">
        <v>40</v>
      </c>
      <c r="F126" s="17" t="s">
        <v>99</v>
      </c>
      <c r="G126" s="16" t="s">
        <v>89</v>
      </c>
      <c r="R126" s="16" t="s">
        <v>97</v>
      </c>
      <c r="S126" s="16" t="s">
        <v>97</v>
      </c>
      <c r="T126" s="17" t="s">
        <v>391</v>
      </c>
      <c r="U126" s="16" t="s">
        <v>302</v>
      </c>
      <c r="V126" s="16" t="s">
        <v>302</v>
      </c>
      <c r="W126" s="17" t="s">
        <v>395</v>
      </c>
      <c r="X126" s="16">
        <v>5</v>
      </c>
      <c r="Y126" s="16" t="s">
        <v>583</v>
      </c>
      <c r="AA126" s="16" t="s">
        <v>306</v>
      </c>
      <c r="AC126" s="16" t="s">
        <v>114</v>
      </c>
      <c r="AF126" s="16">
        <f>COUNTIF($AE$2:$AE$250,AE126)</f>
        <v>0</v>
      </c>
      <c r="AH126" s="17"/>
    </row>
    <row r="127" spans="1:43" s="16" customFormat="1" ht="24" customHeight="1" x14ac:dyDescent="0.25">
      <c r="A127" s="16" t="s">
        <v>91</v>
      </c>
      <c r="B127" s="16" t="s">
        <v>91</v>
      </c>
      <c r="C127" s="17" t="s">
        <v>156</v>
      </c>
      <c r="D127" s="16" t="s">
        <v>103</v>
      </c>
      <c r="E127" s="16" t="s">
        <v>103</v>
      </c>
      <c r="F127" s="17" t="s">
        <v>104</v>
      </c>
      <c r="G127" s="16" t="s">
        <v>89</v>
      </c>
      <c r="R127" s="16" t="s">
        <v>133</v>
      </c>
      <c r="S127" s="16" t="s">
        <v>134</v>
      </c>
      <c r="T127" s="17" t="s">
        <v>135</v>
      </c>
      <c r="V127" s="17"/>
      <c r="W127" s="17"/>
      <c r="AF127" s="16">
        <f>COUNTIF($AE$2:$AE$250,AE127)</f>
        <v>0</v>
      </c>
      <c r="AH127" s="17"/>
    </row>
    <row r="128" spans="1:43" s="16" customFormat="1" ht="24" customHeight="1" x14ac:dyDescent="0.25">
      <c r="A128" s="16" t="s">
        <v>91</v>
      </c>
      <c r="B128" s="16" t="s">
        <v>91</v>
      </c>
      <c r="C128" s="17" t="s">
        <v>156</v>
      </c>
      <c r="D128" s="16" t="s">
        <v>40</v>
      </c>
      <c r="E128" s="16" t="s">
        <v>40</v>
      </c>
      <c r="F128" s="17" t="s">
        <v>99</v>
      </c>
      <c r="G128" s="16" t="s">
        <v>89</v>
      </c>
      <c r="R128" s="16" t="s">
        <v>309</v>
      </c>
      <c r="S128" s="16" t="s">
        <v>309</v>
      </c>
      <c r="T128" s="17" t="s">
        <v>308</v>
      </c>
      <c r="U128" s="16" t="s">
        <v>310</v>
      </c>
      <c r="V128" s="17"/>
      <c r="W128" s="17"/>
      <c r="X128" s="16">
        <v>0</v>
      </c>
      <c r="Y128" s="16" t="s">
        <v>230</v>
      </c>
      <c r="AC128" s="16" t="s">
        <v>722</v>
      </c>
      <c r="AD128" s="16" t="s">
        <v>114</v>
      </c>
      <c r="AF128" s="16">
        <f>COUNTIF($AE$2:$AE$250,AE128)</f>
        <v>0</v>
      </c>
      <c r="AH128" s="17"/>
    </row>
    <row r="129" spans="1:43" s="16" customFormat="1" ht="24" customHeight="1" x14ac:dyDescent="0.25">
      <c r="A129" s="16" t="s">
        <v>91</v>
      </c>
      <c r="B129" s="16" t="s">
        <v>91</v>
      </c>
      <c r="C129" s="17" t="s">
        <v>156</v>
      </c>
      <c r="D129" s="16" t="s">
        <v>40</v>
      </c>
      <c r="E129" s="16" t="s">
        <v>40</v>
      </c>
      <c r="F129" s="17" t="s">
        <v>99</v>
      </c>
      <c r="G129" s="16" t="s">
        <v>89</v>
      </c>
      <c r="R129" s="16" t="s">
        <v>309</v>
      </c>
      <c r="S129" s="16" t="s">
        <v>309</v>
      </c>
      <c r="T129" s="17" t="s">
        <v>308</v>
      </c>
      <c r="U129" s="16" t="s">
        <v>241</v>
      </c>
      <c r="V129" s="17"/>
      <c r="W129" s="17"/>
      <c r="X129" s="16">
        <v>1</v>
      </c>
      <c r="Y129" s="16" t="s">
        <v>230</v>
      </c>
      <c r="AC129" s="16" t="s">
        <v>722</v>
      </c>
      <c r="AE129" s="16" t="s">
        <v>313</v>
      </c>
      <c r="AF129" s="16">
        <f>COUNTIF($AE$2:$AE$250,AE129)</f>
        <v>1</v>
      </c>
      <c r="AG129" s="16" t="s">
        <v>313</v>
      </c>
      <c r="AH129" s="17"/>
      <c r="AI129" s="16" t="s">
        <v>158</v>
      </c>
      <c r="AJ129" s="16" t="s">
        <v>91</v>
      </c>
      <c r="AK129" s="16" t="s">
        <v>309</v>
      </c>
      <c r="AL129" s="16" t="s">
        <v>241</v>
      </c>
      <c r="AM129" s="16" t="s">
        <v>69</v>
      </c>
      <c r="AN129" s="16" t="s">
        <v>91</v>
      </c>
      <c r="AO129" s="16" t="s">
        <v>138</v>
      </c>
      <c r="AP129" s="16" t="s">
        <v>241</v>
      </c>
      <c r="AQ129" s="16" t="s">
        <v>70</v>
      </c>
    </row>
    <row r="130" spans="1:43" s="16" customFormat="1" ht="24" customHeight="1" x14ac:dyDescent="0.25">
      <c r="A130" s="16" t="s">
        <v>91</v>
      </c>
      <c r="B130" s="16" t="s">
        <v>91</v>
      </c>
      <c r="C130" s="17" t="s">
        <v>156</v>
      </c>
      <c r="D130" s="16" t="s">
        <v>40</v>
      </c>
      <c r="E130" s="16" t="s">
        <v>40</v>
      </c>
      <c r="F130" s="17" t="s">
        <v>99</v>
      </c>
      <c r="G130" s="16" t="s">
        <v>89</v>
      </c>
      <c r="R130" s="16" t="s">
        <v>309</v>
      </c>
      <c r="S130" s="16" t="s">
        <v>309</v>
      </c>
      <c r="T130" s="17" t="s">
        <v>308</v>
      </c>
      <c r="U130" s="16" t="s">
        <v>357</v>
      </c>
      <c r="V130" s="17"/>
      <c r="W130" s="17"/>
      <c r="X130" s="16">
        <v>2</v>
      </c>
      <c r="Y130" s="16" t="s">
        <v>230</v>
      </c>
      <c r="AC130" s="16" t="s">
        <v>722</v>
      </c>
      <c r="AE130" s="16" t="s">
        <v>592</v>
      </c>
      <c r="AF130" s="16">
        <f>COUNTIF($AE$2:$AE$250,AE130)</f>
        <v>1</v>
      </c>
      <c r="AG130" s="16" t="s">
        <v>592</v>
      </c>
      <c r="AH130" s="17"/>
      <c r="AI130" s="16" t="s">
        <v>158</v>
      </c>
      <c r="AJ130" s="16" t="s">
        <v>91</v>
      </c>
      <c r="AK130" s="16" t="s">
        <v>309</v>
      </c>
      <c r="AL130" s="16" t="s">
        <v>357</v>
      </c>
      <c r="AM130" s="16" t="s">
        <v>69</v>
      </c>
      <c r="AN130" s="16" t="s">
        <v>91</v>
      </c>
      <c r="AO130" s="16" t="s">
        <v>351</v>
      </c>
      <c r="AP130" s="16" t="s">
        <v>357</v>
      </c>
      <c r="AQ130" s="16" t="s">
        <v>70</v>
      </c>
    </row>
    <row r="131" spans="1:43" s="16" customFormat="1" ht="24" customHeight="1" x14ac:dyDescent="0.25">
      <c r="A131" s="16" t="s">
        <v>91</v>
      </c>
      <c r="B131" s="16" t="s">
        <v>91</v>
      </c>
      <c r="C131" s="17" t="s">
        <v>156</v>
      </c>
      <c r="D131" s="16" t="s">
        <v>40</v>
      </c>
      <c r="E131" s="16" t="s">
        <v>40</v>
      </c>
      <c r="F131" s="17" t="s">
        <v>99</v>
      </c>
      <c r="G131" s="16" t="s">
        <v>89</v>
      </c>
      <c r="R131" s="16" t="s">
        <v>309</v>
      </c>
      <c r="S131" s="16" t="s">
        <v>309</v>
      </c>
      <c r="T131" s="17" t="s">
        <v>308</v>
      </c>
      <c r="U131" s="16" t="s">
        <v>311</v>
      </c>
      <c r="V131" s="17"/>
      <c r="W131" s="17"/>
      <c r="X131" s="16">
        <v>3</v>
      </c>
      <c r="Y131" s="16" t="s">
        <v>583</v>
      </c>
      <c r="AC131" s="16" t="s">
        <v>114</v>
      </c>
      <c r="AF131" s="16">
        <f>COUNTIF($AE$2:$AE$250,AE131)</f>
        <v>0</v>
      </c>
      <c r="AH131" s="17"/>
    </row>
    <row r="132" spans="1:43" s="16" customFormat="1" ht="24" customHeight="1" x14ac:dyDescent="0.25">
      <c r="A132" s="16" t="s">
        <v>91</v>
      </c>
      <c r="B132" s="16" t="s">
        <v>91</v>
      </c>
      <c r="C132" s="17" t="s">
        <v>156</v>
      </c>
      <c r="D132" s="16" t="s">
        <v>40</v>
      </c>
      <c r="E132" s="16" t="s">
        <v>40</v>
      </c>
      <c r="F132" s="17" t="s">
        <v>99</v>
      </c>
      <c r="G132" s="16" t="s">
        <v>89</v>
      </c>
      <c r="R132" s="16" t="s">
        <v>309</v>
      </c>
      <c r="S132" s="16" t="s">
        <v>309</v>
      </c>
      <c r="T132" s="17" t="s">
        <v>308</v>
      </c>
      <c r="U132" s="16" t="s">
        <v>312</v>
      </c>
      <c r="V132" s="17"/>
      <c r="W132" s="17"/>
      <c r="X132" s="16">
        <v>4</v>
      </c>
      <c r="Y132" s="16" t="s">
        <v>583</v>
      </c>
      <c r="AC132" s="16" t="s">
        <v>114</v>
      </c>
      <c r="AF132" s="16">
        <f>COUNTIF($AE$2:$AE$250,AE132)</f>
        <v>0</v>
      </c>
      <c r="AH132" s="17"/>
    </row>
    <row r="133" spans="1:43" s="16" customFormat="1" ht="24" customHeight="1" x14ac:dyDescent="0.25">
      <c r="A133" s="16" t="s">
        <v>91</v>
      </c>
      <c r="B133" s="16" t="s">
        <v>91</v>
      </c>
      <c r="C133" s="17" t="s">
        <v>156</v>
      </c>
      <c r="D133" s="16" t="s">
        <v>40</v>
      </c>
      <c r="E133" s="16" t="s">
        <v>40</v>
      </c>
      <c r="F133" s="17" t="s">
        <v>99</v>
      </c>
      <c r="G133" s="16" t="s">
        <v>89</v>
      </c>
      <c r="R133" s="16" t="s">
        <v>314</v>
      </c>
      <c r="S133" s="16" t="s">
        <v>314</v>
      </c>
      <c r="T133" s="17" t="s">
        <v>315</v>
      </c>
      <c r="U133" s="16" t="s">
        <v>316</v>
      </c>
      <c r="V133" s="16" t="s">
        <v>316</v>
      </c>
      <c r="W133" s="17" t="s">
        <v>453</v>
      </c>
      <c r="X133" s="16">
        <v>0</v>
      </c>
      <c r="Y133" s="16" t="s">
        <v>230</v>
      </c>
      <c r="AC133" s="16" t="s">
        <v>722</v>
      </c>
      <c r="AD133" s="16" t="s">
        <v>114</v>
      </c>
      <c r="AF133" s="16">
        <f>COUNTIF($AE$2:$AE$250,AE133)</f>
        <v>0</v>
      </c>
      <c r="AH133" s="17"/>
    </row>
    <row r="134" spans="1:43" s="16" customFormat="1" ht="24" customHeight="1" x14ac:dyDescent="0.25">
      <c r="A134" s="16" t="s">
        <v>91</v>
      </c>
      <c r="B134" s="16" t="s">
        <v>91</v>
      </c>
      <c r="C134" s="17" t="s">
        <v>156</v>
      </c>
      <c r="D134" s="16" t="s">
        <v>40</v>
      </c>
      <c r="E134" s="16" t="s">
        <v>40</v>
      </c>
      <c r="F134" s="17" t="s">
        <v>99</v>
      </c>
      <c r="G134" s="16" t="s">
        <v>89</v>
      </c>
      <c r="R134" s="16" t="s">
        <v>314</v>
      </c>
      <c r="S134" s="16" t="s">
        <v>314</v>
      </c>
      <c r="T134" s="17" t="s">
        <v>315</v>
      </c>
      <c r="U134" s="16" t="s">
        <v>357</v>
      </c>
      <c r="V134" s="16" t="s">
        <v>357</v>
      </c>
      <c r="W134" s="17" t="s">
        <v>591</v>
      </c>
      <c r="X134" s="16">
        <v>1</v>
      </c>
      <c r="Y134" s="16" t="s">
        <v>230</v>
      </c>
      <c r="AC134" s="16" t="s">
        <v>722</v>
      </c>
      <c r="AE134" s="16" t="s">
        <v>322</v>
      </c>
      <c r="AF134" s="16">
        <f>COUNTIF($AE$2:$AE$250,AE134)</f>
        <v>1</v>
      </c>
      <c r="AG134" s="16" t="s">
        <v>322</v>
      </c>
      <c r="AH134" s="17"/>
      <c r="AI134" s="16" t="s">
        <v>158</v>
      </c>
      <c r="AJ134" s="16" t="s">
        <v>91</v>
      </c>
      <c r="AK134" s="16" t="s">
        <v>314</v>
      </c>
      <c r="AL134" s="16" t="s">
        <v>357</v>
      </c>
      <c r="AM134" s="16" t="s">
        <v>69</v>
      </c>
      <c r="AN134" s="16" t="s">
        <v>91</v>
      </c>
      <c r="AO134" s="16" t="s">
        <v>351</v>
      </c>
      <c r="AP134" s="16" t="s">
        <v>357</v>
      </c>
      <c r="AQ134" s="16" t="s">
        <v>70</v>
      </c>
    </row>
    <row r="135" spans="1:43" s="16" customFormat="1" ht="24" customHeight="1" x14ac:dyDescent="0.25">
      <c r="A135" s="16" t="s">
        <v>91</v>
      </c>
      <c r="B135" s="16" t="s">
        <v>91</v>
      </c>
      <c r="C135" s="17" t="s">
        <v>156</v>
      </c>
      <c r="D135" s="16" t="s">
        <v>40</v>
      </c>
      <c r="E135" s="16" t="s">
        <v>40</v>
      </c>
      <c r="F135" s="17" t="s">
        <v>99</v>
      </c>
      <c r="G135" s="16" t="s">
        <v>89</v>
      </c>
      <c r="R135" s="16" t="s">
        <v>314</v>
      </c>
      <c r="S135" s="16" t="s">
        <v>314</v>
      </c>
      <c r="T135" s="17" t="s">
        <v>315</v>
      </c>
      <c r="U135" s="16" t="s">
        <v>456</v>
      </c>
      <c r="V135" s="16" t="s">
        <v>456</v>
      </c>
      <c r="W135" s="17" t="s">
        <v>457</v>
      </c>
      <c r="X135" s="16">
        <v>2</v>
      </c>
      <c r="Y135" s="16" t="s">
        <v>583</v>
      </c>
      <c r="AA135" s="17" t="s">
        <v>461</v>
      </c>
      <c r="AB135" s="17"/>
      <c r="AC135" s="16" t="s">
        <v>114</v>
      </c>
      <c r="AF135" s="16">
        <f>COUNTIF($AE$2:$AE$250,AE135)</f>
        <v>0</v>
      </c>
      <c r="AH135" s="17"/>
    </row>
    <row r="136" spans="1:43" s="16" customFormat="1" ht="24" customHeight="1" x14ac:dyDescent="0.25">
      <c r="A136" s="16" t="s">
        <v>91</v>
      </c>
      <c r="B136" s="16" t="s">
        <v>91</v>
      </c>
      <c r="C136" s="17" t="s">
        <v>156</v>
      </c>
      <c r="D136" s="16" t="s">
        <v>40</v>
      </c>
      <c r="E136" s="16" t="s">
        <v>40</v>
      </c>
      <c r="F136" s="17" t="s">
        <v>99</v>
      </c>
      <c r="G136" s="16" t="s">
        <v>89</v>
      </c>
      <c r="R136" s="16" t="s">
        <v>314</v>
      </c>
      <c r="S136" s="16" t="s">
        <v>314</v>
      </c>
      <c r="T136" s="17" t="s">
        <v>315</v>
      </c>
      <c r="U136" s="16" t="s">
        <v>458</v>
      </c>
      <c r="V136" s="16" t="s">
        <v>458</v>
      </c>
      <c r="W136" s="17" t="s">
        <v>460</v>
      </c>
      <c r="X136" s="16">
        <v>3</v>
      </c>
      <c r="Y136" s="16" t="s">
        <v>583</v>
      </c>
      <c r="AA136" s="17" t="s">
        <v>462</v>
      </c>
      <c r="AB136" s="17"/>
      <c r="AC136" s="16" t="s">
        <v>114</v>
      </c>
      <c r="AF136" s="16">
        <f>COUNTIF($AE$2:$AE$250,AE136)</f>
        <v>0</v>
      </c>
      <c r="AH136" s="17"/>
    </row>
    <row r="137" spans="1:43" s="16" customFormat="1" ht="24" customHeight="1" x14ac:dyDescent="0.25">
      <c r="A137" s="16" t="s">
        <v>91</v>
      </c>
      <c r="B137" s="16" t="s">
        <v>91</v>
      </c>
      <c r="C137" s="17" t="s">
        <v>156</v>
      </c>
      <c r="D137" s="16" t="s">
        <v>40</v>
      </c>
      <c r="E137" s="16" t="s">
        <v>40</v>
      </c>
      <c r="F137" s="17" t="s">
        <v>99</v>
      </c>
      <c r="G137" s="16" t="s">
        <v>89</v>
      </c>
      <c r="R137" s="16" t="s">
        <v>314</v>
      </c>
      <c r="S137" s="16" t="s">
        <v>314</v>
      </c>
      <c r="T137" s="17" t="s">
        <v>315</v>
      </c>
      <c r="U137" s="16" t="s">
        <v>454</v>
      </c>
      <c r="V137" s="16" t="s">
        <v>454</v>
      </c>
      <c r="W137" s="17" t="s">
        <v>459</v>
      </c>
      <c r="X137" s="16">
        <v>4</v>
      </c>
      <c r="Y137" s="16" t="s">
        <v>583</v>
      </c>
      <c r="AA137" s="17" t="s">
        <v>463</v>
      </c>
      <c r="AB137" s="17"/>
      <c r="AC137" s="16" t="s">
        <v>114</v>
      </c>
      <c r="AF137" s="16">
        <f>COUNTIF($AE$2:$AE$250,AE137)</f>
        <v>0</v>
      </c>
      <c r="AH137" s="17"/>
    </row>
    <row r="138" spans="1:43" s="16" customFormat="1" ht="24" customHeight="1" x14ac:dyDescent="0.25">
      <c r="A138" s="16" t="s">
        <v>91</v>
      </c>
      <c r="B138" s="16" t="s">
        <v>91</v>
      </c>
      <c r="C138" s="17" t="s">
        <v>156</v>
      </c>
      <c r="D138" s="16" t="s">
        <v>40</v>
      </c>
      <c r="E138" s="16" t="s">
        <v>40</v>
      </c>
      <c r="F138" s="17" t="s">
        <v>99</v>
      </c>
      <c r="G138" s="16" t="s">
        <v>89</v>
      </c>
      <c r="R138" s="16" t="s">
        <v>314</v>
      </c>
      <c r="S138" s="16" t="s">
        <v>314</v>
      </c>
      <c r="T138" s="17" t="s">
        <v>315</v>
      </c>
      <c r="U138" s="16" t="s">
        <v>455</v>
      </c>
      <c r="V138" s="16" t="s">
        <v>455</v>
      </c>
      <c r="W138" s="17" t="s">
        <v>465</v>
      </c>
      <c r="X138" s="16">
        <v>5</v>
      </c>
      <c r="Y138" s="16" t="s">
        <v>583</v>
      </c>
      <c r="AA138" s="17" t="s">
        <v>464</v>
      </c>
      <c r="AB138" s="17"/>
      <c r="AC138" s="16" t="s">
        <v>114</v>
      </c>
      <c r="AF138" s="16">
        <f>COUNTIF($AE$2:$AE$250,AE138)</f>
        <v>0</v>
      </c>
      <c r="AH138" s="17"/>
    </row>
    <row r="139" spans="1:43" s="16" customFormat="1" ht="24" customHeight="1" x14ac:dyDescent="0.25">
      <c r="A139" s="16" t="s">
        <v>91</v>
      </c>
      <c r="B139" s="16" t="s">
        <v>91</v>
      </c>
      <c r="C139" s="17" t="s">
        <v>156</v>
      </c>
      <c r="D139" s="16" t="s">
        <v>40</v>
      </c>
      <c r="E139" s="16" t="s">
        <v>40</v>
      </c>
      <c r="F139" s="17" t="s">
        <v>99</v>
      </c>
      <c r="G139" s="16" t="s">
        <v>89</v>
      </c>
      <c r="R139" s="16" t="s">
        <v>317</v>
      </c>
      <c r="S139" s="16" t="s">
        <v>317</v>
      </c>
      <c r="T139" s="17" t="s">
        <v>318</v>
      </c>
      <c r="U139" s="16" t="s">
        <v>319</v>
      </c>
      <c r="V139" s="17"/>
      <c r="W139" s="17" t="s">
        <v>466</v>
      </c>
      <c r="X139" s="16">
        <v>0</v>
      </c>
      <c r="Y139" s="16" t="s">
        <v>230</v>
      </c>
      <c r="AC139" s="16" t="s">
        <v>722</v>
      </c>
      <c r="AD139" s="16" t="s">
        <v>114</v>
      </c>
      <c r="AF139" s="16">
        <f>COUNTIF($AE$2:$AE$250,AE139)</f>
        <v>0</v>
      </c>
      <c r="AH139" s="17"/>
    </row>
    <row r="140" spans="1:43" s="16" customFormat="1" ht="24" customHeight="1" x14ac:dyDescent="0.25">
      <c r="A140" s="16" t="s">
        <v>91</v>
      </c>
      <c r="B140" s="16" t="s">
        <v>91</v>
      </c>
      <c r="C140" s="17" t="s">
        <v>156</v>
      </c>
      <c r="D140" s="16" t="s">
        <v>40</v>
      </c>
      <c r="E140" s="16" t="s">
        <v>40</v>
      </c>
      <c r="F140" s="17" t="s">
        <v>99</v>
      </c>
      <c r="G140" s="16" t="s">
        <v>89</v>
      </c>
      <c r="R140" s="16" t="s">
        <v>317</v>
      </c>
      <c r="S140" s="16" t="s">
        <v>317</v>
      </c>
      <c r="T140" s="17" t="s">
        <v>318</v>
      </c>
      <c r="U140" s="16" t="s">
        <v>357</v>
      </c>
      <c r="V140" s="17"/>
      <c r="W140" s="17" t="s">
        <v>466</v>
      </c>
      <c r="X140" s="16">
        <v>1</v>
      </c>
      <c r="Y140" s="16" t="s">
        <v>230</v>
      </c>
      <c r="AC140" s="16" t="s">
        <v>722</v>
      </c>
      <c r="AE140" s="16" t="s">
        <v>323</v>
      </c>
      <c r="AF140" s="16">
        <f>COUNTIF($AE$2:$AE$250,AE140)</f>
        <v>1</v>
      </c>
      <c r="AG140" s="16" t="s">
        <v>323</v>
      </c>
      <c r="AH140" s="17"/>
      <c r="AI140" s="16" t="s">
        <v>158</v>
      </c>
      <c r="AJ140" s="16" t="s">
        <v>91</v>
      </c>
      <c r="AK140" s="16" t="s">
        <v>317</v>
      </c>
      <c r="AL140" s="16" t="s">
        <v>357</v>
      </c>
      <c r="AM140" s="16" t="s">
        <v>69</v>
      </c>
      <c r="AN140" s="16" t="s">
        <v>91</v>
      </c>
      <c r="AO140" s="16" t="s">
        <v>351</v>
      </c>
      <c r="AP140" s="16" t="s">
        <v>357</v>
      </c>
      <c r="AQ140" s="16" t="s">
        <v>70</v>
      </c>
    </row>
    <row r="141" spans="1:43" s="16" customFormat="1" ht="24" customHeight="1" x14ac:dyDescent="0.25">
      <c r="A141" s="16" t="s">
        <v>91</v>
      </c>
      <c r="B141" s="16" t="s">
        <v>91</v>
      </c>
      <c r="C141" s="17" t="s">
        <v>156</v>
      </c>
      <c r="D141" s="16" t="s">
        <v>40</v>
      </c>
      <c r="E141" s="16" t="s">
        <v>40</v>
      </c>
      <c r="F141" s="17" t="s">
        <v>99</v>
      </c>
      <c r="G141" s="16" t="s">
        <v>89</v>
      </c>
      <c r="R141" s="16" t="s">
        <v>317</v>
      </c>
      <c r="S141" s="16" t="s">
        <v>317</v>
      </c>
      <c r="T141" s="17" t="s">
        <v>318</v>
      </c>
      <c r="U141" s="16" t="s">
        <v>320</v>
      </c>
      <c r="V141" s="17"/>
      <c r="W141" s="17" t="s">
        <v>466</v>
      </c>
      <c r="X141" s="16">
        <v>2</v>
      </c>
      <c r="Y141" s="16" t="s">
        <v>583</v>
      </c>
      <c r="AC141" s="16" t="s">
        <v>114</v>
      </c>
      <c r="AF141" s="16">
        <f>COUNTIF($AE$2:$AE$250,AE141)</f>
        <v>0</v>
      </c>
      <c r="AH141" s="17"/>
    </row>
    <row r="142" spans="1:43" s="16" customFormat="1" ht="24" customHeight="1" x14ac:dyDescent="0.25">
      <c r="A142" s="16" t="s">
        <v>91</v>
      </c>
      <c r="B142" s="16" t="s">
        <v>91</v>
      </c>
      <c r="C142" s="17" t="s">
        <v>156</v>
      </c>
      <c r="D142" s="16" t="s">
        <v>40</v>
      </c>
      <c r="E142" s="16" t="s">
        <v>40</v>
      </c>
      <c r="F142" s="17" t="s">
        <v>99</v>
      </c>
      <c r="G142" s="16" t="s">
        <v>89</v>
      </c>
      <c r="R142" s="16" t="s">
        <v>325</v>
      </c>
      <c r="S142" s="16" t="s">
        <v>325</v>
      </c>
      <c r="T142" s="17" t="s">
        <v>326</v>
      </c>
      <c r="U142" s="16" t="s">
        <v>327</v>
      </c>
      <c r="V142" s="17"/>
      <c r="W142" s="17" t="s">
        <v>466</v>
      </c>
      <c r="X142" s="16">
        <v>0</v>
      </c>
      <c r="Y142" s="16" t="s">
        <v>230</v>
      </c>
      <c r="AC142" s="16" t="s">
        <v>722</v>
      </c>
      <c r="AD142" s="16" t="s">
        <v>114</v>
      </c>
      <c r="AF142" s="16">
        <f>COUNTIF($AE$2:$AE$250,AE142)</f>
        <v>0</v>
      </c>
      <c r="AH142" s="17"/>
    </row>
    <row r="143" spans="1:43" s="16" customFormat="1" ht="24" customHeight="1" x14ac:dyDescent="0.25">
      <c r="A143" s="16" t="s">
        <v>91</v>
      </c>
      <c r="B143" s="16" t="s">
        <v>91</v>
      </c>
      <c r="C143" s="17" t="s">
        <v>156</v>
      </c>
      <c r="D143" s="16" t="s">
        <v>40</v>
      </c>
      <c r="E143" s="16" t="s">
        <v>40</v>
      </c>
      <c r="F143" s="17" t="s">
        <v>99</v>
      </c>
      <c r="G143" s="16" t="s">
        <v>89</v>
      </c>
      <c r="R143" s="16" t="s">
        <v>325</v>
      </c>
      <c r="S143" s="16" t="s">
        <v>325</v>
      </c>
      <c r="T143" s="17" t="s">
        <v>326</v>
      </c>
      <c r="U143" s="16" t="s">
        <v>357</v>
      </c>
      <c r="V143" s="17" t="s">
        <v>357</v>
      </c>
      <c r="W143" s="17" t="s">
        <v>466</v>
      </c>
      <c r="X143" s="16">
        <v>1</v>
      </c>
      <c r="Y143" s="16" t="s">
        <v>230</v>
      </c>
      <c r="AC143" s="16" t="s">
        <v>722</v>
      </c>
      <c r="AE143" s="16" t="s">
        <v>329</v>
      </c>
      <c r="AF143" s="16">
        <f>COUNTIF($AE$2:$AE$250,AE143)</f>
        <v>1</v>
      </c>
      <c r="AG143" s="16" t="s">
        <v>329</v>
      </c>
      <c r="AH143" s="17"/>
      <c r="AI143" s="16" t="s">
        <v>158</v>
      </c>
      <c r="AJ143" s="16" t="s">
        <v>91</v>
      </c>
      <c r="AK143" s="16" t="s">
        <v>325</v>
      </c>
      <c r="AL143" s="16" t="s">
        <v>357</v>
      </c>
      <c r="AM143" s="16" t="s">
        <v>69</v>
      </c>
      <c r="AN143" s="16" t="s">
        <v>91</v>
      </c>
      <c r="AO143" s="16" t="s">
        <v>351</v>
      </c>
      <c r="AP143" s="16" t="s">
        <v>357</v>
      </c>
      <c r="AQ143" s="16" t="s">
        <v>70</v>
      </c>
    </row>
    <row r="144" spans="1:43" s="16" customFormat="1" ht="24" customHeight="1" x14ac:dyDescent="0.25">
      <c r="A144" s="16" t="s">
        <v>91</v>
      </c>
      <c r="B144" s="16" t="s">
        <v>91</v>
      </c>
      <c r="C144" s="17" t="s">
        <v>156</v>
      </c>
      <c r="D144" s="16" t="s">
        <v>40</v>
      </c>
      <c r="E144" s="16" t="s">
        <v>40</v>
      </c>
      <c r="F144" s="17" t="s">
        <v>99</v>
      </c>
      <c r="G144" s="16" t="s">
        <v>89</v>
      </c>
      <c r="R144" s="16" t="s">
        <v>325</v>
      </c>
      <c r="S144" s="16" t="s">
        <v>325</v>
      </c>
      <c r="T144" s="17" t="s">
        <v>326</v>
      </c>
      <c r="U144" s="16" t="s">
        <v>328</v>
      </c>
      <c r="V144" s="17"/>
      <c r="W144" s="17" t="s">
        <v>466</v>
      </c>
      <c r="X144" s="16">
        <v>2</v>
      </c>
      <c r="Y144" s="16" t="s">
        <v>583</v>
      </c>
      <c r="AC144" s="16" t="s">
        <v>114</v>
      </c>
      <c r="AF144" s="16">
        <f>COUNTIF($AE$2:$AE$250,AE144)</f>
        <v>0</v>
      </c>
      <c r="AH144" s="17"/>
    </row>
    <row r="145" spans="1:43" s="16" customFormat="1" ht="24" customHeight="1" x14ac:dyDescent="0.25">
      <c r="A145" s="16" t="s">
        <v>91</v>
      </c>
      <c r="B145" s="16" t="s">
        <v>91</v>
      </c>
      <c r="C145" s="17" t="s">
        <v>156</v>
      </c>
      <c r="D145" s="16" t="s">
        <v>40</v>
      </c>
      <c r="E145" s="16" t="s">
        <v>40</v>
      </c>
      <c r="F145" s="17" t="s">
        <v>99</v>
      </c>
      <c r="G145" s="16" t="s">
        <v>89</v>
      </c>
      <c r="R145" s="16" t="s">
        <v>333</v>
      </c>
      <c r="S145" s="16" t="s">
        <v>333</v>
      </c>
      <c r="T145" s="17"/>
      <c r="U145" s="16" t="s">
        <v>334</v>
      </c>
      <c r="V145" s="17"/>
      <c r="W145" s="17"/>
      <c r="X145" s="16">
        <v>0</v>
      </c>
      <c r="Y145" s="16" t="s">
        <v>230</v>
      </c>
      <c r="AC145" s="16" t="s">
        <v>722</v>
      </c>
      <c r="AD145" s="16" t="s">
        <v>114</v>
      </c>
      <c r="AF145" s="16">
        <f>COUNTIF($AE$2:$AE$250,AE145)</f>
        <v>0</v>
      </c>
      <c r="AH145" s="17"/>
    </row>
    <row r="146" spans="1:43" s="16" customFormat="1" ht="24" customHeight="1" x14ac:dyDescent="0.25">
      <c r="A146" s="16" t="s">
        <v>91</v>
      </c>
      <c r="B146" s="16" t="s">
        <v>91</v>
      </c>
      <c r="C146" s="17" t="s">
        <v>156</v>
      </c>
      <c r="D146" s="16" t="s">
        <v>40</v>
      </c>
      <c r="E146" s="16" t="s">
        <v>40</v>
      </c>
      <c r="F146" s="17" t="s">
        <v>99</v>
      </c>
      <c r="G146" s="16" t="s">
        <v>89</v>
      </c>
      <c r="R146" s="16" t="s">
        <v>333</v>
      </c>
      <c r="S146" s="16" t="s">
        <v>333</v>
      </c>
      <c r="T146" s="17"/>
      <c r="U146" s="16" t="s">
        <v>345</v>
      </c>
      <c r="V146" s="17"/>
      <c r="W146" s="17"/>
      <c r="X146" s="16">
        <v>1</v>
      </c>
      <c r="Y146" s="16" t="s">
        <v>230</v>
      </c>
      <c r="AC146" s="16" t="s">
        <v>722</v>
      </c>
      <c r="AF146" s="16">
        <f>COUNTIF($AE$2:$AE$250,AE146)</f>
        <v>0</v>
      </c>
      <c r="AH146" s="17"/>
    </row>
    <row r="147" spans="1:43" s="16" customFormat="1" ht="24" customHeight="1" x14ac:dyDescent="0.25">
      <c r="A147" s="16" t="s">
        <v>91</v>
      </c>
      <c r="B147" s="16" t="s">
        <v>91</v>
      </c>
      <c r="C147" s="17" t="s">
        <v>156</v>
      </c>
      <c r="D147" s="16" t="s">
        <v>40</v>
      </c>
      <c r="E147" s="16" t="s">
        <v>40</v>
      </c>
      <c r="F147" s="17" t="s">
        <v>99</v>
      </c>
      <c r="G147" s="16" t="s">
        <v>89</v>
      </c>
      <c r="R147" s="16" t="s">
        <v>333</v>
      </c>
      <c r="S147" s="16" t="s">
        <v>333</v>
      </c>
      <c r="T147" s="17"/>
      <c r="U147" s="16" t="s">
        <v>357</v>
      </c>
      <c r="V147" s="17"/>
      <c r="W147" s="17"/>
      <c r="X147" s="16">
        <v>2</v>
      </c>
      <c r="Y147" s="16" t="s">
        <v>230</v>
      </c>
      <c r="AC147" s="16" t="s">
        <v>722</v>
      </c>
      <c r="AE147" s="16" t="s">
        <v>602</v>
      </c>
      <c r="AF147" s="16">
        <f>COUNTIF($AE$2:$AE$250,AE147)</f>
        <v>1</v>
      </c>
      <c r="AG147" s="16" t="s">
        <v>602</v>
      </c>
      <c r="AH147" s="17"/>
      <c r="AI147" s="16" t="s">
        <v>158</v>
      </c>
      <c r="AJ147" s="16" t="s">
        <v>91</v>
      </c>
      <c r="AK147" s="16" t="s">
        <v>333</v>
      </c>
      <c r="AL147" s="16" t="s">
        <v>357</v>
      </c>
      <c r="AM147" s="16" t="s">
        <v>69</v>
      </c>
      <c r="AN147" s="16" t="s">
        <v>91</v>
      </c>
      <c r="AO147" s="16" t="s">
        <v>351</v>
      </c>
      <c r="AP147" s="16" t="s">
        <v>357</v>
      </c>
      <c r="AQ147" s="16" t="s">
        <v>70</v>
      </c>
    </row>
    <row r="148" spans="1:43" s="16" customFormat="1" ht="24" customHeight="1" x14ac:dyDescent="0.25">
      <c r="A148" s="16" t="s">
        <v>91</v>
      </c>
      <c r="B148" s="16" t="s">
        <v>91</v>
      </c>
      <c r="C148" s="17" t="s">
        <v>156</v>
      </c>
      <c r="D148" s="16" t="s">
        <v>40</v>
      </c>
      <c r="E148" s="16" t="s">
        <v>40</v>
      </c>
      <c r="F148" s="17" t="s">
        <v>99</v>
      </c>
      <c r="G148" s="16" t="s">
        <v>89</v>
      </c>
      <c r="R148" s="16" t="s">
        <v>346</v>
      </c>
      <c r="S148" s="16" t="s">
        <v>346</v>
      </c>
      <c r="T148" s="17"/>
      <c r="U148" s="16" t="s">
        <v>345</v>
      </c>
      <c r="V148" s="16" t="s">
        <v>345</v>
      </c>
      <c r="W148" s="17" t="s">
        <v>571</v>
      </c>
      <c r="X148" s="16">
        <v>0</v>
      </c>
      <c r="Y148" s="16" t="s">
        <v>230</v>
      </c>
      <c r="AC148" s="16" t="s">
        <v>722</v>
      </c>
      <c r="AD148" s="16" t="s">
        <v>114</v>
      </c>
      <c r="AF148" s="16">
        <f>COUNTIF($AE$2:$AE$250,AE148)</f>
        <v>0</v>
      </c>
      <c r="AH148" s="17"/>
    </row>
    <row r="149" spans="1:43" s="16" customFormat="1" ht="24" customHeight="1" x14ac:dyDescent="0.25">
      <c r="A149" s="16" t="s">
        <v>91</v>
      </c>
      <c r="B149" s="16" t="s">
        <v>91</v>
      </c>
      <c r="C149" s="17" t="s">
        <v>156</v>
      </c>
      <c r="D149" s="16" t="s">
        <v>40</v>
      </c>
      <c r="E149" s="16" t="s">
        <v>40</v>
      </c>
      <c r="F149" s="17" t="s">
        <v>99</v>
      </c>
      <c r="G149" s="16" t="s">
        <v>89</v>
      </c>
      <c r="R149" s="16" t="s">
        <v>346</v>
      </c>
      <c r="S149" s="16" t="s">
        <v>346</v>
      </c>
      <c r="T149" s="17"/>
      <c r="U149" s="16" t="s">
        <v>342</v>
      </c>
      <c r="V149" s="16" t="s">
        <v>342</v>
      </c>
      <c r="W149" s="17" t="s">
        <v>401</v>
      </c>
      <c r="X149" s="16">
        <v>1</v>
      </c>
      <c r="Y149" s="16" t="s">
        <v>583</v>
      </c>
      <c r="AA149" s="16" t="s">
        <v>417</v>
      </c>
      <c r="AB149" s="16" t="s">
        <v>590</v>
      </c>
      <c r="AF149" s="16">
        <f>COUNTIF($AE$2:$AE$250,AE149)</f>
        <v>0</v>
      </c>
      <c r="AH149" s="17"/>
    </row>
    <row r="150" spans="1:43" s="16" customFormat="1" ht="24" customHeight="1" x14ac:dyDescent="0.25">
      <c r="A150" s="16" t="s">
        <v>91</v>
      </c>
      <c r="B150" s="16" t="s">
        <v>91</v>
      </c>
      <c r="C150" s="17" t="s">
        <v>156</v>
      </c>
      <c r="D150" s="16" t="s">
        <v>40</v>
      </c>
      <c r="E150" s="16" t="s">
        <v>40</v>
      </c>
      <c r="F150" s="17" t="s">
        <v>99</v>
      </c>
      <c r="G150" s="16" t="s">
        <v>89</v>
      </c>
      <c r="R150" s="18" t="s">
        <v>346</v>
      </c>
      <c r="S150" s="18" t="s">
        <v>346</v>
      </c>
      <c r="T150" s="19"/>
      <c r="U150" s="18" t="s">
        <v>403</v>
      </c>
      <c r="V150" s="18" t="s">
        <v>403</v>
      </c>
      <c r="W150" s="19" t="s">
        <v>416</v>
      </c>
      <c r="X150" s="18">
        <v>2</v>
      </c>
      <c r="Y150" s="18" t="s">
        <v>58</v>
      </c>
      <c r="Z150" s="18"/>
      <c r="AA150" s="18" t="s">
        <v>418</v>
      </c>
      <c r="AB150" s="16" t="s">
        <v>627</v>
      </c>
      <c r="AF150" s="16">
        <f>COUNTIF($AE$2:$AE$250,AE150)</f>
        <v>0</v>
      </c>
      <c r="AH150" s="17"/>
    </row>
    <row r="151" spans="1:43" s="16" customFormat="1" ht="24" customHeight="1" x14ac:dyDescent="0.25">
      <c r="A151" s="16" t="s">
        <v>91</v>
      </c>
      <c r="B151" s="16" t="s">
        <v>91</v>
      </c>
      <c r="C151" s="17" t="s">
        <v>156</v>
      </c>
      <c r="D151" s="16" t="s">
        <v>40</v>
      </c>
      <c r="E151" s="16" t="s">
        <v>40</v>
      </c>
      <c r="F151" s="17" t="s">
        <v>99</v>
      </c>
      <c r="G151" s="16" t="s">
        <v>89</v>
      </c>
      <c r="R151" s="18" t="s">
        <v>346</v>
      </c>
      <c r="S151" s="18" t="s">
        <v>346</v>
      </c>
      <c r="T151" s="19"/>
      <c r="U151" s="18" t="s">
        <v>404</v>
      </c>
      <c r="V151" s="18" t="s">
        <v>404</v>
      </c>
      <c r="W151" s="19" t="s">
        <v>405</v>
      </c>
      <c r="X151" s="18">
        <v>3</v>
      </c>
      <c r="Y151" s="18" t="s">
        <v>58</v>
      </c>
      <c r="Z151" s="18"/>
      <c r="AA151" s="18" t="s">
        <v>419</v>
      </c>
      <c r="AB151" s="16" t="s">
        <v>627</v>
      </c>
      <c r="AF151" s="16">
        <f>COUNTIF($AE$2:$AE$250,AE151)</f>
        <v>0</v>
      </c>
      <c r="AH151" s="17"/>
    </row>
    <row r="152" spans="1:43" s="16" customFormat="1" ht="24" customHeight="1" x14ac:dyDescent="0.25">
      <c r="A152" s="16" t="s">
        <v>91</v>
      </c>
      <c r="B152" s="16" t="s">
        <v>91</v>
      </c>
      <c r="C152" s="17" t="s">
        <v>156</v>
      </c>
      <c r="D152" s="16" t="s">
        <v>40</v>
      </c>
      <c r="E152" s="16" t="s">
        <v>40</v>
      </c>
      <c r="F152" s="17" t="s">
        <v>99</v>
      </c>
      <c r="G152" s="16" t="s">
        <v>89</v>
      </c>
      <c r="R152" s="18" t="s">
        <v>346</v>
      </c>
      <c r="S152" s="18" t="s">
        <v>346</v>
      </c>
      <c r="T152" s="19"/>
      <c r="U152" s="18" t="s">
        <v>406</v>
      </c>
      <c r="V152" s="18" t="s">
        <v>406</v>
      </c>
      <c r="W152" s="19" t="s">
        <v>407</v>
      </c>
      <c r="X152" s="18">
        <v>4</v>
      </c>
      <c r="Y152" s="18" t="s">
        <v>248</v>
      </c>
      <c r="Z152" s="18"/>
      <c r="AA152" s="18" t="s">
        <v>420</v>
      </c>
      <c r="AB152" s="16" t="s">
        <v>628</v>
      </c>
      <c r="AF152" s="16">
        <f>COUNTIF($AE$2:$AE$250,AE152)</f>
        <v>0</v>
      </c>
      <c r="AH152" s="17"/>
    </row>
    <row r="153" spans="1:43" s="16" customFormat="1" ht="24" customHeight="1" x14ac:dyDescent="0.25">
      <c r="A153" s="16" t="s">
        <v>91</v>
      </c>
      <c r="B153" s="16" t="s">
        <v>91</v>
      </c>
      <c r="C153" s="17" t="s">
        <v>156</v>
      </c>
      <c r="D153" s="16" t="s">
        <v>40</v>
      </c>
      <c r="E153" s="16" t="s">
        <v>40</v>
      </c>
      <c r="F153" s="17" t="s">
        <v>99</v>
      </c>
      <c r="G153" s="16" t="s">
        <v>89</v>
      </c>
      <c r="R153" s="18" t="s">
        <v>346</v>
      </c>
      <c r="S153" s="18" t="s">
        <v>346</v>
      </c>
      <c r="T153" s="19"/>
      <c r="U153" s="18" t="s">
        <v>408</v>
      </c>
      <c r="V153" s="18" t="s">
        <v>408</v>
      </c>
      <c r="W153" s="19" t="s">
        <v>412</v>
      </c>
      <c r="X153" s="18">
        <v>5</v>
      </c>
      <c r="Y153" s="18" t="s">
        <v>58</v>
      </c>
      <c r="Z153" s="18"/>
      <c r="AA153" s="18" t="s">
        <v>421</v>
      </c>
      <c r="AB153" s="16" t="s">
        <v>627</v>
      </c>
      <c r="AF153" s="16">
        <f>COUNTIF($AE$2:$AE$250,AE153)</f>
        <v>0</v>
      </c>
      <c r="AH153" s="17"/>
    </row>
    <row r="154" spans="1:43" s="16" customFormat="1" ht="24" customHeight="1" x14ac:dyDescent="0.25">
      <c r="A154" s="16" t="s">
        <v>91</v>
      </c>
      <c r="B154" s="16" t="s">
        <v>91</v>
      </c>
      <c r="C154" s="17" t="s">
        <v>156</v>
      </c>
      <c r="D154" s="16" t="s">
        <v>40</v>
      </c>
      <c r="E154" s="16" t="s">
        <v>40</v>
      </c>
      <c r="F154" s="17" t="s">
        <v>99</v>
      </c>
      <c r="G154" s="16" t="s">
        <v>89</v>
      </c>
      <c r="R154" s="18" t="s">
        <v>346</v>
      </c>
      <c r="S154" s="18" t="s">
        <v>346</v>
      </c>
      <c r="T154" s="19"/>
      <c r="U154" s="18" t="s">
        <v>409</v>
      </c>
      <c r="V154" s="18" t="s">
        <v>409</v>
      </c>
      <c r="W154" s="19" t="s">
        <v>413</v>
      </c>
      <c r="X154" s="18">
        <v>6</v>
      </c>
      <c r="Y154" s="18" t="s">
        <v>248</v>
      </c>
      <c r="Z154" s="18"/>
      <c r="AA154" s="18" t="s">
        <v>422</v>
      </c>
      <c r="AB154" s="16" t="s">
        <v>628</v>
      </c>
      <c r="AF154" s="16">
        <f>COUNTIF($AE$2:$AE$250,AE154)</f>
        <v>0</v>
      </c>
      <c r="AH154" s="17"/>
    </row>
    <row r="155" spans="1:43" s="16" customFormat="1" ht="24" customHeight="1" x14ac:dyDescent="0.25">
      <c r="A155" s="16" t="s">
        <v>91</v>
      </c>
      <c r="B155" s="16" t="s">
        <v>91</v>
      </c>
      <c r="C155" s="17" t="s">
        <v>156</v>
      </c>
      <c r="D155" s="16" t="s">
        <v>40</v>
      </c>
      <c r="E155" s="16" t="s">
        <v>40</v>
      </c>
      <c r="F155" s="17" t="s">
        <v>99</v>
      </c>
      <c r="G155" s="16" t="s">
        <v>89</v>
      </c>
      <c r="R155" s="18" t="s">
        <v>346</v>
      </c>
      <c r="S155" s="18" t="s">
        <v>346</v>
      </c>
      <c r="T155" s="19"/>
      <c r="U155" s="18" t="s">
        <v>410</v>
      </c>
      <c r="V155" s="18" t="s">
        <v>410</v>
      </c>
      <c r="W155" s="19" t="s">
        <v>414</v>
      </c>
      <c r="X155" s="18">
        <v>7</v>
      </c>
      <c r="Y155" s="18" t="s">
        <v>58</v>
      </c>
      <c r="Z155" s="18"/>
      <c r="AA155" s="18" t="s">
        <v>423</v>
      </c>
      <c r="AB155" s="16" t="s">
        <v>627</v>
      </c>
      <c r="AF155" s="16">
        <f>COUNTIF($AE$2:$AE$250,AE155)</f>
        <v>0</v>
      </c>
      <c r="AH155" s="17"/>
    </row>
    <row r="156" spans="1:43" s="16" customFormat="1" ht="24" customHeight="1" x14ac:dyDescent="0.25">
      <c r="A156" s="16" t="s">
        <v>91</v>
      </c>
      <c r="B156" s="16" t="s">
        <v>91</v>
      </c>
      <c r="C156" s="17" t="s">
        <v>156</v>
      </c>
      <c r="D156" s="16" t="s">
        <v>40</v>
      </c>
      <c r="E156" s="16" t="s">
        <v>40</v>
      </c>
      <c r="F156" s="17" t="s">
        <v>99</v>
      </c>
      <c r="G156" s="16" t="s">
        <v>89</v>
      </c>
      <c r="R156" s="18" t="s">
        <v>346</v>
      </c>
      <c r="S156" s="18" t="s">
        <v>346</v>
      </c>
      <c r="T156" s="19"/>
      <c r="U156" s="18" t="s">
        <v>411</v>
      </c>
      <c r="V156" s="18" t="s">
        <v>411</v>
      </c>
      <c r="W156" s="19" t="s">
        <v>415</v>
      </c>
      <c r="X156" s="18">
        <v>8</v>
      </c>
      <c r="Y156" s="18" t="s">
        <v>248</v>
      </c>
      <c r="Z156" s="18"/>
      <c r="AA156" s="18" t="s">
        <v>424</v>
      </c>
      <c r="AB156" s="16" t="s">
        <v>628</v>
      </c>
      <c r="AF156" s="16">
        <f>COUNTIF($AE$2:$AE$250,AE156)</f>
        <v>0</v>
      </c>
      <c r="AH156" s="17"/>
    </row>
    <row r="157" spans="1:43" s="16" customFormat="1" ht="24" customHeight="1" x14ac:dyDescent="0.25">
      <c r="A157" s="16" t="s">
        <v>91</v>
      </c>
      <c r="B157" s="16" t="s">
        <v>91</v>
      </c>
      <c r="C157" s="17" t="s">
        <v>156</v>
      </c>
      <c r="D157" s="16" t="s">
        <v>40</v>
      </c>
      <c r="E157" s="16" t="s">
        <v>40</v>
      </c>
      <c r="F157" s="17" t="s">
        <v>99</v>
      </c>
      <c r="G157" s="16" t="s">
        <v>89</v>
      </c>
      <c r="R157" s="16" t="s">
        <v>346</v>
      </c>
      <c r="S157" s="16" t="s">
        <v>346</v>
      </c>
      <c r="T157" s="17"/>
      <c r="U157" s="16" t="s">
        <v>425</v>
      </c>
      <c r="V157" s="17" t="s">
        <v>425</v>
      </c>
      <c r="W157" s="17" t="s">
        <v>426</v>
      </c>
      <c r="X157" s="16">
        <v>9</v>
      </c>
      <c r="Y157" s="16" t="s">
        <v>583</v>
      </c>
      <c r="AF157" s="16">
        <f>COUNTIF($AE$2:$AE$250,AE157)</f>
        <v>0</v>
      </c>
      <c r="AH157" s="17"/>
    </row>
    <row r="158" spans="1:43" s="16" customFormat="1" ht="24" customHeight="1" x14ac:dyDescent="0.25">
      <c r="A158" s="16" t="s">
        <v>91</v>
      </c>
      <c r="B158" s="16" t="s">
        <v>91</v>
      </c>
      <c r="C158" s="17" t="s">
        <v>156</v>
      </c>
      <c r="D158" s="16" t="s">
        <v>40</v>
      </c>
      <c r="E158" s="16" t="s">
        <v>40</v>
      </c>
      <c r="F158" s="17" t="s">
        <v>99</v>
      </c>
      <c r="G158" s="16" t="s">
        <v>89</v>
      </c>
      <c r="R158" s="16" t="s">
        <v>346</v>
      </c>
      <c r="S158" s="16" t="s">
        <v>346</v>
      </c>
      <c r="T158" s="17"/>
      <c r="U158" s="16" t="s">
        <v>343</v>
      </c>
      <c r="V158" s="16" t="s">
        <v>343</v>
      </c>
      <c r="W158" s="17" t="s">
        <v>402</v>
      </c>
      <c r="X158" s="16">
        <v>10</v>
      </c>
      <c r="Y158" s="16" t="s">
        <v>548</v>
      </c>
      <c r="AA158" s="16" t="s">
        <v>427</v>
      </c>
      <c r="AB158" s="16" t="s">
        <v>587</v>
      </c>
      <c r="AF158" s="16">
        <f>COUNTIF($AE$2:$AE$250,AE158)</f>
        <v>0</v>
      </c>
      <c r="AH158" s="17"/>
    </row>
    <row r="159" spans="1:43" s="16" customFormat="1" ht="24" customHeight="1" x14ac:dyDescent="0.25">
      <c r="A159" s="16" t="s">
        <v>91</v>
      </c>
      <c r="B159" s="16" t="s">
        <v>91</v>
      </c>
      <c r="C159" s="17" t="s">
        <v>156</v>
      </c>
      <c r="D159" s="16" t="s">
        <v>40</v>
      </c>
      <c r="E159" s="16" t="s">
        <v>40</v>
      </c>
      <c r="F159" s="17" t="s">
        <v>99</v>
      </c>
      <c r="G159" s="16" t="s">
        <v>89</v>
      </c>
      <c r="R159" s="16" t="s">
        <v>346</v>
      </c>
      <c r="S159" s="16" t="s">
        <v>346</v>
      </c>
      <c r="T159" s="17"/>
      <c r="U159" s="16" t="s">
        <v>344</v>
      </c>
      <c r="V159" s="16" t="s">
        <v>344</v>
      </c>
      <c r="W159" s="17" t="s">
        <v>442</v>
      </c>
      <c r="X159" s="16">
        <v>11</v>
      </c>
      <c r="AF159" s="16">
        <f>COUNTIF($AE$2:$AE$250,AE159)</f>
        <v>0</v>
      </c>
      <c r="AH159" s="17"/>
    </row>
    <row r="160" spans="1:43" s="16" customFormat="1" ht="24" customHeight="1" x14ac:dyDescent="0.25">
      <c r="A160" s="16" t="s">
        <v>91</v>
      </c>
      <c r="B160" s="16" t="s">
        <v>91</v>
      </c>
      <c r="C160" s="17" t="s">
        <v>156</v>
      </c>
      <c r="D160" s="16" t="s">
        <v>40</v>
      </c>
      <c r="E160" s="16" t="s">
        <v>40</v>
      </c>
      <c r="F160" s="17" t="s">
        <v>99</v>
      </c>
      <c r="G160" s="16" t="s">
        <v>89</v>
      </c>
      <c r="R160" s="16" t="s">
        <v>346</v>
      </c>
      <c r="S160" s="16" t="s">
        <v>346</v>
      </c>
      <c r="T160" s="17"/>
      <c r="U160" s="16" t="s">
        <v>430</v>
      </c>
      <c r="V160" s="16" t="s">
        <v>430</v>
      </c>
      <c r="W160" s="17" t="s">
        <v>431</v>
      </c>
      <c r="X160" s="16">
        <v>12</v>
      </c>
      <c r="Y160" s="16" t="s">
        <v>548</v>
      </c>
      <c r="AA160" s="16" t="s">
        <v>432</v>
      </c>
      <c r="AB160" s="16" t="s">
        <v>587</v>
      </c>
      <c r="AF160" s="16">
        <f>COUNTIF($AE$2:$AE$250,AE160)</f>
        <v>0</v>
      </c>
      <c r="AH160" s="17"/>
    </row>
    <row r="161" spans="1:43" s="16" customFormat="1" ht="24" customHeight="1" x14ac:dyDescent="0.25">
      <c r="A161" s="16" t="s">
        <v>91</v>
      </c>
      <c r="B161" s="16" t="s">
        <v>91</v>
      </c>
      <c r="C161" s="17" t="s">
        <v>156</v>
      </c>
      <c r="D161" s="16" t="s">
        <v>40</v>
      </c>
      <c r="E161" s="16" t="s">
        <v>40</v>
      </c>
      <c r="F161" s="17" t="s">
        <v>99</v>
      </c>
      <c r="G161" s="16" t="s">
        <v>89</v>
      </c>
      <c r="R161" s="16" t="s">
        <v>346</v>
      </c>
      <c r="S161" s="16" t="s">
        <v>346</v>
      </c>
      <c r="T161" s="17"/>
      <c r="U161" s="16" t="s">
        <v>428</v>
      </c>
      <c r="V161" s="16" t="s">
        <v>428</v>
      </c>
      <c r="W161" s="17" t="s">
        <v>429</v>
      </c>
      <c r="X161" s="16">
        <v>13</v>
      </c>
      <c r="Y161" s="16" t="s">
        <v>548</v>
      </c>
      <c r="AA161" s="16" t="s">
        <v>433</v>
      </c>
      <c r="AB161" s="16" t="s">
        <v>587</v>
      </c>
      <c r="AF161" s="16">
        <f>COUNTIF($AE$2:$AE$250,AE161)</f>
        <v>0</v>
      </c>
      <c r="AH161" s="17"/>
    </row>
    <row r="162" spans="1:43" s="16" customFormat="1" ht="24" customHeight="1" x14ac:dyDescent="0.25">
      <c r="A162" s="16" t="s">
        <v>91</v>
      </c>
      <c r="B162" s="16" t="s">
        <v>91</v>
      </c>
      <c r="C162" s="17" t="s">
        <v>156</v>
      </c>
      <c r="D162" s="16" t="s">
        <v>40</v>
      </c>
      <c r="E162" s="16" t="s">
        <v>40</v>
      </c>
      <c r="F162" s="17" t="s">
        <v>99</v>
      </c>
      <c r="G162" s="16" t="s">
        <v>89</v>
      </c>
      <c r="R162" s="16" t="s">
        <v>346</v>
      </c>
      <c r="S162" s="16" t="s">
        <v>346</v>
      </c>
      <c r="T162" s="17"/>
      <c r="U162" s="16" t="s">
        <v>434</v>
      </c>
      <c r="V162" s="16" t="s">
        <v>434</v>
      </c>
      <c r="W162" s="17" t="s">
        <v>443</v>
      </c>
      <c r="X162" s="16">
        <v>14</v>
      </c>
      <c r="Y162" s="16" t="s">
        <v>583</v>
      </c>
      <c r="AA162" s="17" t="s">
        <v>435</v>
      </c>
      <c r="AB162" s="17"/>
      <c r="AF162" s="16">
        <f>COUNTIF($AE$2:$AE$250,AE162)</f>
        <v>0</v>
      </c>
      <c r="AH162" s="17"/>
    </row>
    <row r="163" spans="1:43" s="16" customFormat="1" ht="24" customHeight="1" x14ac:dyDescent="0.25">
      <c r="A163" s="16" t="s">
        <v>91</v>
      </c>
      <c r="B163" s="16" t="s">
        <v>91</v>
      </c>
      <c r="C163" s="17" t="s">
        <v>156</v>
      </c>
      <c r="D163" s="16" t="s">
        <v>40</v>
      </c>
      <c r="E163" s="16" t="s">
        <v>40</v>
      </c>
      <c r="F163" s="17" t="s">
        <v>99</v>
      </c>
      <c r="G163" s="16" t="s">
        <v>89</v>
      </c>
      <c r="R163" s="16" t="s">
        <v>346</v>
      </c>
      <c r="S163" s="16" t="s">
        <v>346</v>
      </c>
      <c r="T163" s="17"/>
      <c r="U163" s="16" t="s">
        <v>438</v>
      </c>
      <c r="V163" s="16" t="s">
        <v>438</v>
      </c>
      <c r="W163" s="17" t="s">
        <v>436</v>
      </c>
      <c r="X163" s="16">
        <v>15</v>
      </c>
      <c r="Y163" s="16" t="s">
        <v>583</v>
      </c>
      <c r="AA163" s="17" t="s">
        <v>437</v>
      </c>
      <c r="AB163" s="17"/>
      <c r="AF163" s="16">
        <f>COUNTIF($AE$2:$AE$250,AE163)</f>
        <v>0</v>
      </c>
      <c r="AH163" s="17"/>
    </row>
    <row r="164" spans="1:43" s="16" customFormat="1" ht="24" customHeight="1" x14ac:dyDescent="0.25">
      <c r="A164" s="16" t="s">
        <v>91</v>
      </c>
      <c r="B164" s="16" t="s">
        <v>91</v>
      </c>
      <c r="C164" s="17" t="s">
        <v>156</v>
      </c>
      <c r="D164" s="16" t="s">
        <v>40</v>
      </c>
      <c r="E164" s="16" t="s">
        <v>40</v>
      </c>
      <c r="F164" s="17" t="s">
        <v>99</v>
      </c>
      <c r="G164" s="16" t="s">
        <v>89</v>
      </c>
      <c r="R164" s="16" t="s">
        <v>346</v>
      </c>
      <c r="S164" s="16" t="s">
        <v>346</v>
      </c>
      <c r="T164" s="17"/>
      <c r="U164" s="16" t="s">
        <v>440</v>
      </c>
      <c r="V164" s="16" t="s">
        <v>440</v>
      </c>
      <c r="W164" s="17" t="s">
        <v>441</v>
      </c>
      <c r="X164" s="16">
        <v>16</v>
      </c>
      <c r="Y164" s="16" t="s">
        <v>588</v>
      </c>
      <c r="AA164" s="16" t="s">
        <v>439</v>
      </c>
      <c r="AF164" s="16">
        <f>COUNTIF($AE$2:$AE$250,AE164)</f>
        <v>0</v>
      </c>
      <c r="AH164" s="17"/>
    </row>
    <row r="165" spans="1:43" s="16" customFormat="1" ht="24" customHeight="1" x14ac:dyDescent="0.25">
      <c r="A165" s="16" t="s">
        <v>91</v>
      </c>
      <c r="B165" s="16" t="s">
        <v>91</v>
      </c>
      <c r="C165" s="17" t="s">
        <v>156</v>
      </c>
      <c r="D165" s="16" t="s">
        <v>40</v>
      </c>
      <c r="E165" s="16" t="s">
        <v>40</v>
      </c>
      <c r="F165" s="17" t="s">
        <v>99</v>
      </c>
      <c r="G165" s="16" t="s">
        <v>89</v>
      </c>
      <c r="R165" s="16" t="s">
        <v>354</v>
      </c>
      <c r="S165" s="16" t="s">
        <v>354</v>
      </c>
      <c r="T165" s="17" t="s">
        <v>523</v>
      </c>
      <c r="U165" s="16" t="s">
        <v>355</v>
      </c>
      <c r="V165" s="17" t="s">
        <v>355</v>
      </c>
      <c r="W165" s="17"/>
      <c r="X165" s="16">
        <v>0</v>
      </c>
      <c r="Y165" s="16" t="s">
        <v>230</v>
      </c>
      <c r="AC165" s="16" t="s">
        <v>722</v>
      </c>
      <c r="AD165" s="16" t="s">
        <v>114</v>
      </c>
      <c r="AF165" s="16">
        <f>COUNTIF($AE$2:$AE$250,AE165)</f>
        <v>0</v>
      </c>
      <c r="AH165" s="17"/>
    </row>
    <row r="166" spans="1:43" s="16" customFormat="1" ht="24" customHeight="1" x14ac:dyDescent="0.25">
      <c r="A166" s="16" t="s">
        <v>91</v>
      </c>
      <c r="B166" s="16" t="s">
        <v>91</v>
      </c>
      <c r="C166" s="17" t="s">
        <v>156</v>
      </c>
      <c r="D166" s="16" t="s">
        <v>40</v>
      </c>
      <c r="E166" s="16" t="s">
        <v>40</v>
      </c>
      <c r="F166" s="17" t="s">
        <v>99</v>
      </c>
      <c r="G166" s="16" t="s">
        <v>89</v>
      </c>
      <c r="R166" s="16" t="s">
        <v>354</v>
      </c>
      <c r="S166" s="16" t="s">
        <v>354</v>
      </c>
      <c r="T166" s="17" t="s">
        <v>523</v>
      </c>
      <c r="U166" s="16" t="s">
        <v>357</v>
      </c>
      <c r="V166" s="16" t="s">
        <v>357</v>
      </c>
      <c r="W166" s="17" t="s">
        <v>589</v>
      </c>
      <c r="X166" s="16">
        <v>1</v>
      </c>
      <c r="Y166" s="16" t="s">
        <v>230</v>
      </c>
      <c r="AC166" s="16" t="s">
        <v>722</v>
      </c>
      <c r="AE166" s="16" t="s">
        <v>631</v>
      </c>
      <c r="AF166" s="16">
        <f>COUNTIF($AE$2:$AE$250,AE166)</f>
        <v>1</v>
      </c>
      <c r="AG166" s="16" t="s">
        <v>631</v>
      </c>
      <c r="AH166" s="17"/>
      <c r="AI166" s="16" t="s">
        <v>158</v>
      </c>
      <c r="AJ166" s="16" t="s">
        <v>91</v>
      </c>
      <c r="AK166" s="16" t="s">
        <v>354</v>
      </c>
      <c r="AL166" s="16" t="s">
        <v>357</v>
      </c>
      <c r="AM166" s="16" t="s">
        <v>70</v>
      </c>
      <c r="AN166" s="16" t="s">
        <v>91</v>
      </c>
      <c r="AO166" s="16" t="s">
        <v>351</v>
      </c>
      <c r="AP166" s="16" t="s">
        <v>357</v>
      </c>
      <c r="AQ166" s="16" t="s">
        <v>70</v>
      </c>
    </row>
    <row r="167" spans="1:43" s="16" customFormat="1" ht="24" customHeight="1" x14ac:dyDescent="0.25">
      <c r="A167" s="16" t="s">
        <v>91</v>
      </c>
      <c r="B167" s="16" t="s">
        <v>91</v>
      </c>
      <c r="C167" s="17" t="s">
        <v>156</v>
      </c>
      <c r="D167" s="16" t="s">
        <v>40</v>
      </c>
      <c r="E167" s="16" t="s">
        <v>40</v>
      </c>
      <c r="F167" s="17" t="s">
        <v>99</v>
      </c>
      <c r="G167" s="16" t="s">
        <v>89</v>
      </c>
      <c r="R167" s="16" t="s">
        <v>354</v>
      </c>
      <c r="S167" s="16" t="s">
        <v>354</v>
      </c>
      <c r="T167" s="17" t="s">
        <v>523</v>
      </c>
      <c r="U167" s="16" t="s">
        <v>229</v>
      </c>
      <c r="V167" s="17" t="s">
        <v>229</v>
      </c>
      <c r="W167" s="17" t="s">
        <v>524</v>
      </c>
      <c r="X167" s="16">
        <v>2</v>
      </c>
      <c r="Y167" s="16" t="s">
        <v>230</v>
      </c>
      <c r="AC167" s="16" t="s">
        <v>722</v>
      </c>
      <c r="AE167" s="16" t="s">
        <v>632</v>
      </c>
      <c r="AF167" s="16">
        <f>COUNTIF($AE$2:$AE$250,AE167)</f>
        <v>1</v>
      </c>
      <c r="AG167" s="16" t="s">
        <v>632</v>
      </c>
      <c r="AH167" s="17"/>
      <c r="AI167" s="16" t="s">
        <v>158</v>
      </c>
      <c r="AJ167" s="16" t="s">
        <v>91</v>
      </c>
      <c r="AK167" s="16" t="s">
        <v>354</v>
      </c>
      <c r="AL167" s="16" t="s">
        <v>229</v>
      </c>
      <c r="AM167" s="16" t="s">
        <v>70</v>
      </c>
      <c r="AN167" s="16" t="s">
        <v>91</v>
      </c>
      <c r="AO167" s="16" t="s">
        <v>217</v>
      </c>
      <c r="AP167" s="16" t="s">
        <v>229</v>
      </c>
      <c r="AQ167" s="16" t="s">
        <v>70</v>
      </c>
    </row>
    <row r="168" spans="1:43" s="16" customFormat="1" ht="24" customHeight="1" x14ac:dyDescent="0.25">
      <c r="A168" s="16" t="s">
        <v>91</v>
      </c>
      <c r="B168" s="16" t="s">
        <v>91</v>
      </c>
      <c r="C168" s="17" t="s">
        <v>156</v>
      </c>
      <c r="D168" s="16" t="s">
        <v>40</v>
      </c>
      <c r="E168" s="16" t="s">
        <v>40</v>
      </c>
      <c r="F168" s="17" t="s">
        <v>99</v>
      </c>
      <c r="G168" s="16" t="s">
        <v>89</v>
      </c>
      <c r="R168" s="16" t="s">
        <v>354</v>
      </c>
      <c r="S168" s="16" t="s">
        <v>354</v>
      </c>
      <c r="T168" s="17" t="s">
        <v>523</v>
      </c>
      <c r="U168" s="16" t="s">
        <v>353</v>
      </c>
      <c r="V168" s="17" t="s">
        <v>353</v>
      </c>
      <c r="W168" s="17" t="s">
        <v>519</v>
      </c>
      <c r="X168" s="16">
        <v>3</v>
      </c>
      <c r="Y168" s="16" t="s">
        <v>583</v>
      </c>
      <c r="AA168" s="16" t="s">
        <v>522</v>
      </c>
      <c r="AC168" s="16" t="s">
        <v>722</v>
      </c>
      <c r="AF168" s="16">
        <f>COUNTIF($AE$2:$AE$250,AE168)</f>
        <v>0</v>
      </c>
      <c r="AH168" s="17"/>
    </row>
    <row r="169" spans="1:43" s="16" customFormat="1" ht="24" customHeight="1" x14ac:dyDescent="0.25">
      <c r="A169" s="16" t="s">
        <v>91</v>
      </c>
      <c r="B169" s="16" t="s">
        <v>91</v>
      </c>
      <c r="C169" s="17" t="s">
        <v>156</v>
      </c>
      <c r="D169" s="16" t="s">
        <v>40</v>
      </c>
      <c r="E169" s="16" t="s">
        <v>40</v>
      </c>
      <c r="F169" s="17" t="s">
        <v>99</v>
      </c>
      <c r="G169" s="16" t="s">
        <v>89</v>
      </c>
      <c r="R169" s="16" t="s">
        <v>354</v>
      </c>
      <c r="S169" s="16" t="s">
        <v>354</v>
      </c>
      <c r="T169" s="17" t="s">
        <v>523</v>
      </c>
      <c r="U169" s="16" t="s">
        <v>356</v>
      </c>
      <c r="V169" s="17" t="s">
        <v>356</v>
      </c>
      <c r="W169" s="17" t="s">
        <v>520</v>
      </c>
      <c r="X169" s="16">
        <v>4</v>
      </c>
      <c r="Y169" s="16" t="s">
        <v>583</v>
      </c>
      <c r="AA169" s="16" t="s">
        <v>521</v>
      </c>
      <c r="AC169" s="16" t="s">
        <v>114</v>
      </c>
      <c r="AF169" s="16">
        <f>COUNTIF($AE$2:$AE$250,AE169)</f>
        <v>0</v>
      </c>
      <c r="AH169" s="17"/>
    </row>
    <row r="170" spans="1:43" s="16" customFormat="1" ht="24" customHeight="1" x14ac:dyDescent="0.25">
      <c r="A170" s="16" t="s">
        <v>91</v>
      </c>
      <c r="B170" s="16" t="s">
        <v>91</v>
      </c>
      <c r="C170" s="17" t="s">
        <v>156</v>
      </c>
      <c r="D170" s="16" t="s">
        <v>40</v>
      </c>
      <c r="E170" s="16" t="s">
        <v>40</v>
      </c>
      <c r="F170" s="17" t="s">
        <v>99</v>
      </c>
      <c r="G170" s="16" t="s">
        <v>89</v>
      </c>
      <c r="R170" s="16" t="s">
        <v>351</v>
      </c>
      <c r="S170" s="16" t="s">
        <v>351</v>
      </c>
      <c r="T170" s="17"/>
      <c r="U170" s="16" t="s">
        <v>357</v>
      </c>
      <c r="V170" s="17" t="s">
        <v>357</v>
      </c>
      <c r="W170" s="17" t="s">
        <v>358</v>
      </c>
      <c r="X170" s="16">
        <v>0</v>
      </c>
      <c r="Y170" s="16" t="s">
        <v>230</v>
      </c>
      <c r="AC170" s="16" t="s">
        <v>722</v>
      </c>
      <c r="AD170" s="16" t="s">
        <v>114</v>
      </c>
      <c r="AF170" s="16">
        <f>COUNTIF($AE$2:$AE$250,AE170)</f>
        <v>0</v>
      </c>
      <c r="AH170" s="17"/>
    </row>
    <row r="171" spans="1:43" s="16" customFormat="1" ht="24" customHeight="1" x14ac:dyDescent="0.25">
      <c r="A171" s="16" t="s">
        <v>91</v>
      </c>
      <c r="B171" s="16" t="s">
        <v>91</v>
      </c>
      <c r="C171" s="17" t="s">
        <v>156</v>
      </c>
      <c r="D171" s="16" t="s">
        <v>40</v>
      </c>
      <c r="E171" s="16" t="s">
        <v>40</v>
      </c>
      <c r="F171" s="17" t="s">
        <v>99</v>
      </c>
      <c r="G171" s="16" t="s">
        <v>89</v>
      </c>
      <c r="R171" s="16" t="s">
        <v>351</v>
      </c>
      <c r="S171" s="16" t="s">
        <v>351</v>
      </c>
      <c r="T171" s="17"/>
      <c r="U171" s="16" t="s">
        <v>112</v>
      </c>
      <c r="V171" s="17" t="s">
        <v>113</v>
      </c>
      <c r="W171" s="17" t="s">
        <v>359</v>
      </c>
      <c r="X171" s="16">
        <f>SUM(X170,1)</f>
        <v>1</v>
      </c>
      <c r="Y171" s="16" t="s">
        <v>230</v>
      </c>
      <c r="AC171" s="16" t="s">
        <v>722</v>
      </c>
      <c r="AE171" s="16" t="s">
        <v>362</v>
      </c>
      <c r="AF171" s="16">
        <f>COUNTIF($AE$2:$AE$250,AE171)</f>
        <v>1</v>
      </c>
      <c r="AG171" s="16" t="s">
        <v>293</v>
      </c>
      <c r="AH171" s="17" t="s">
        <v>360</v>
      </c>
      <c r="AI171" s="16" t="s">
        <v>158</v>
      </c>
      <c r="AJ171" s="16" t="s">
        <v>91</v>
      </c>
      <c r="AK171" s="16" t="s">
        <v>351</v>
      </c>
      <c r="AL171" s="16" t="s">
        <v>112</v>
      </c>
      <c r="AM171" s="16" t="s">
        <v>69</v>
      </c>
      <c r="AN171" s="16" t="s">
        <v>91</v>
      </c>
      <c r="AO171" s="16" t="s">
        <v>40</v>
      </c>
      <c r="AP171" s="16" t="s">
        <v>112</v>
      </c>
      <c r="AQ171" s="16" t="s">
        <v>70</v>
      </c>
    </row>
    <row r="172" spans="1:43" s="16" customFormat="1" ht="24" customHeight="1" x14ac:dyDescent="0.25">
      <c r="A172" s="16" t="s">
        <v>91</v>
      </c>
      <c r="B172" s="16" t="s">
        <v>91</v>
      </c>
      <c r="C172" s="17" t="s">
        <v>156</v>
      </c>
      <c r="D172" s="16" t="s">
        <v>40</v>
      </c>
      <c r="E172" s="16" t="s">
        <v>40</v>
      </c>
      <c r="F172" s="17" t="s">
        <v>99</v>
      </c>
      <c r="G172" s="16" t="s">
        <v>89</v>
      </c>
      <c r="R172" s="16" t="s">
        <v>351</v>
      </c>
      <c r="S172" s="16" t="s">
        <v>351</v>
      </c>
      <c r="T172" s="17"/>
      <c r="U172" s="16" t="s">
        <v>124</v>
      </c>
      <c r="V172" s="17" t="s">
        <v>126</v>
      </c>
      <c r="W172" s="17" t="s">
        <v>157</v>
      </c>
      <c r="X172" s="16">
        <f t="shared" ref="X172:X214" si="0">SUM(X171,1)</f>
        <v>2</v>
      </c>
      <c r="Y172" s="16" t="s">
        <v>583</v>
      </c>
      <c r="AC172" s="16" t="s">
        <v>722</v>
      </c>
      <c r="AE172" s="16" t="s">
        <v>361</v>
      </c>
      <c r="AF172" s="16">
        <f>COUNTIF($AE$2:$AE$250,AE172)</f>
        <v>1</v>
      </c>
      <c r="AG172" s="16" t="s">
        <v>71</v>
      </c>
      <c r="AH172" s="17" t="s">
        <v>72</v>
      </c>
      <c r="AI172" s="16" t="s">
        <v>158</v>
      </c>
      <c r="AJ172" s="16" t="s">
        <v>91</v>
      </c>
      <c r="AK172" s="16" t="s">
        <v>351</v>
      </c>
      <c r="AL172" s="16" t="s">
        <v>124</v>
      </c>
      <c r="AM172" s="16" t="s">
        <v>69</v>
      </c>
      <c r="AN172" s="16" t="s">
        <v>91</v>
      </c>
      <c r="AO172" s="16" t="s">
        <v>122</v>
      </c>
      <c r="AP172" s="16" t="s">
        <v>124</v>
      </c>
      <c r="AQ172" s="16" t="s">
        <v>70</v>
      </c>
    </row>
    <row r="173" spans="1:43" s="16" customFormat="1" ht="24" customHeight="1" x14ac:dyDescent="0.25">
      <c r="A173" s="16" t="s">
        <v>91</v>
      </c>
      <c r="B173" s="16" t="s">
        <v>91</v>
      </c>
      <c r="C173" s="17" t="s">
        <v>156</v>
      </c>
      <c r="D173" s="16" t="s">
        <v>40</v>
      </c>
      <c r="E173" s="16" t="s">
        <v>40</v>
      </c>
      <c r="F173" s="17" t="s">
        <v>99</v>
      </c>
      <c r="G173" s="16" t="s">
        <v>89</v>
      </c>
      <c r="R173" s="16" t="s">
        <v>351</v>
      </c>
      <c r="S173" s="16" t="s">
        <v>351</v>
      </c>
      <c r="T173" s="17" t="s">
        <v>90</v>
      </c>
      <c r="U173" s="16" t="s">
        <v>159</v>
      </c>
      <c r="V173" s="17" t="s">
        <v>159</v>
      </c>
      <c r="W173" s="17" t="s">
        <v>364</v>
      </c>
      <c r="X173" s="16">
        <f t="shared" si="0"/>
        <v>3</v>
      </c>
      <c r="Y173" s="16" t="s">
        <v>583</v>
      </c>
      <c r="AA173" s="16" t="s">
        <v>268</v>
      </c>
      <c r="AC173" s="16" t="s">
        <v>114</v>
      </c>
      <c r="AF173" s="16">
        <f>COUNTIF($AE$2:$AE$250,AE173)</f>
        <v>0</v>
      </c>
      <c r="AH173" s="17"/>
    </row>
    <row r="174" spans="1:43" s="16" customFormat="1" ht="24" customHeight="1" x14ac:dyDescent="0.25">
      <c r="A174" s="16" t="s">
        <v>91</v>
      </c>
      <c r="B174" s="16" t="s">
        <v>91</v>
      </c>
      <c r="C174" s="17" t="s">
        <v>156</v>
      </c>
      <c r="D174" s="16" t="s">
        <v>40</v>
      </c>
      <c r="E174" s="16" t="s">
        <v>40</v>
      </c>
      <c r="F174" s="17" t="s">
        <v>99</v>
      </c>
      <c r="G174" s="16" t="s">
        <v>89</v>
      </c>
      <c r="R174" s="16" t="s">
        <v>351</v>
      </c>
      <c r="S174" s="16" t="s">
        <v>351</v>
      </c>
      <c r="T174" s="17" t="s">
        <v>90</v>
      </c>
      <c r="U174" s="16" t="s">
        <v>160</v>
      </c>
      <c r="V174" s="17" t="s">
        <v>160</v>
      </c>
      <c r="W174" s="17" t="s">
        <v>365</v>
      </c>
      <c r="X174" s="16">
        <f t="shared" si="0"/>
        <v>4</v>
      </c>
      <c r="Y174" s="16" t="s">
        <v>583</v>
      </c>
      <c r="AA174" s="16" t="s">
        <v>269</v>
      </c>
      <c r="AC174" s="16" t="s">
        <v>722</v>
      </c>
      <c r="AF174" s="16">
        <f>COUNTIF($AE$2:$AE$250,AE174)</f>
        <v>0</v>
      </c>
      <c r="AH174" s="17"/>
    </row>
    <row r="175" spans="1:43" s="16" customFormat="1" ht="24" customHeight="1" x14ac:dyDescent="0.25">
      <c r="A175" s="16" t="s">
        <v>91</v>
      </c>
      <c r="B175" s="16" t="s">
        <v>91</v>
      </c>
      <c r="C175" s="17" t="s">
        <v>156</v>
      </c>
      <c r="D175" s="16" t="s">
        <v>40</v>
      </c>
      <c r="E175" s="16" t="s">
        <v>40</v>
      </c>
      <c r="F175" s="17" t="s">
        <v>99</v>
      </c>
      <c r="G175" s="16" t="s">
        <v>89</v>
      </c>
      <c r="R175" s="16" t="s">
        <v>351</v>
      </c>
      <c r="S175" s="16" t="s">
        <v>351</v>
      </c>
      <c r="T175" s="17" t="s">
        <v>90</v>
      </c>
      <c r="U175" s="16" t="s">
        <v>161</v>
      </c>
      <c r="V175" s="17" t="s">
        <v>161</v>
      </c>
      <c r="W175" s="17" t="s">
        <v>367</v>
      </c>
      <c r="X175" s="16">
        <f t="shared" si="0"/>
        <v>5</v>
      </c>
      <c r="Y175" s="16" t="s">
        <v>583</v>
      </c>
      <c r="AA175" s="16" t="s">
        <v>270</v>
      </c>
      <c r="AC175" s="16" t="s">
        <v>114</v>
      </c>
      <c r="AF175" s="16">
        <f>COUNTIF($AE$2:$AE$250,AE175)</f>
        <v>0</v>
      </c>
      <c r="AH175" s="17"/>
    </row>
    <row r="176" spans="1:43" s="16" customFormat="1" ht="24" customHeight="1" x14ac:dyDescent="0.25">
      <c r="A176" s="16" t="s">
        <v>91</v>
      </c>
      <c r="B176" s="16" t="s">
        <v>91</v>
      </c>
      <c r="C176" s="17" t="s">
        <v>156</v>
      </c>
      <c r="D176" s="16" t="s">
        <v>40</v>
      </c>
      <c r="E176" s="16" t="s">
        <v>40</v>
      </c>
      <c r="F176" s="17" t="s">
        <v>99</v>
      </c>
      <c r="G176" s="16" t="s">
        <v>89</v>
      </c>
      <c r="R176" s="16" t="s">
        <v>351</v>
      </c>
      <c r="S176" s="16" t="s">
        <v>351</v>
      </c>
      <c r="T176" s="17" t="s">
        <v>90</v>
      </c>
      <c r="U176" s="16" t="s">
        <v>162</v>
      </c>
      <c r="V176" s="17" t="s">
        <v>162</v>
      </c>
      <c r="W176" s="17" t="s">
        <v>366</v>
      </c>
      <c r="X176" s="16">
        <f t="shared" si="0"/>
        <v>6</v>
      </c>
      <c r="Y176" s="16" t="s">
        <v>583</v>
      </c>
      <c r="AA176" s="16" t="s">
        <v>271</v>
      </c>
      <c r="AC176" s="16" t="s">
        <v>114</v>
      </c>
      <c r="AF176" s="16">
        <f>COUNTIF($AE$2:$AE$250,AE176)</f>
        <v>0</v>
      </c>
      <c r="AH176" s="17"/>
    </row>
    <row r="177" spans="1:34" s="16" customFormat="1" ht="24" customHeight="1" x14ac:dyDescent="0.25">
      <c r="A177" s="16" t="s">
        <v>91</v>
      </c>
      <c r="B177" s="16" t="s">
        <v>91</v>
      </c>
      <c r="C177" s="17" t="s">
        <v>156</v>
      </c>
      <c r="D177" s="16" t="s">
        <v>40</v>
      </c>
      <c r="E177" s="16" t="s">
        <v>40</v>
      </c>
      <c r="F177" s="17" t="s">
        <v>99</v>
      </c>
      <c r="G177" s="16" t="s">
        <v>89</v>
      </c>
      <c r="R177" s="16" t="s">
        <v>351</v>
      </c>
      <c r="S177" s="16" t="s">
        <v>351</v>
      </c>
      <c r="T177" s="17" t="s">
        <v>90</v>
      </c>
      <c r="U177" s="16" t="s">
        <v>163</v>
      </c>
      <c r="V177" s="17" t="s">
        <v>163</v>
      </c>
      <c r="W177" s="17" t="s">
        <v>368</v>
      </c>
      <c r="X177" s="16">
        <f t="shared" si="0"/>
        <v>7</v>
      </c>
      <c r="Y177" s="16" t="s">
        <v>583</v>
      </c>
      <c r="AA177" s="16" t="s">
        <v>267</v>
      </c>
      <c r="AC177" s="16" t="s">
        <v>114</v>
      </c>
      <c r="AF177" s="16">
        <f>COUNTIF($AE$2:$AE$250,AE177)</f>
        <v>0</v>
      </c>
      <c r="AH177" s="17"/>
    </row>
    <row r="178" spans="1:34" s="16" customFormat="1" ht="24" customHeight="1" x14ac:dyDescent="0.25">
      <c r="A178" s="16" t="s">
        <v>91</v>
      </c>
      <c r="B178" s="16" t="s">
        <v>91</v>
      </c>
      <c r="C178" s="17" t="s">
        <v>156</v>
      </c>
      <c r="D178" s="16" t="s">
        <v>40</v>
      </c>
      <c r="E178" s="16" t="s">
        <v>40</v>
      </c>
      <c r="F178" s="17" t="s">
        <v>99</v>
      </c>
      <c r="G178" s="16" t="s">
        <v>89</v>
      </c>
      <c r="R178" s="16" t="s">
        <v>351</v>
      </c>
      <c r="S178" s="16" t="s">
        <v>351</v>
      </c>
      <c r="T178" s="17" t="s">
        <v>90</v>
      </c>
      <c r="U178" s="16" t="s">
        <v>336</v>
      </c>
      <c r="V178" s="17" t="s">
        <v>336</v>
      </c>
      <c r="W178" s="17" t="s">
        <v>370</v>
      </c>
      <c r="X178" s="16">
        <f t="shared" si="0"/>
        <v>8</v>
      </c>
      <c r="Y178" s="16" t="s">
        <v>583</v>
      </c>
      <c r="AC178" s="16" t="s">
        <v>722</v>
      </c>
      <c r="AF178" s="16">
        <f>COUNTIF($AE$2:$AE$250,AE178)</f>
        <v>0</v>
      </c>
      <c r="AH178" s="17"/>
    </row>
    <row r="179" spans="1:34" s="16" customFormat="1" ht="24" customHeight="1" x14ac:dyDescent="0.25">
      <c r="A179" s="16" t="s">
        <v>91</v>
      </c>
      <c r="B179" s="16" t="s">
        <v>91</v>
      </c>
      <c r="C179" s="17" t="s">
        <v>156</v>
      </c>
      <c r="D179" s="16" t="s">
        <v>40</v>
      </c>
      <c r="E179" s="16" t="s">
        <v>40</v>
      </c>
      <c r="F179" s="17" t="s">
        <v>99</v>
      </c>
      <c r="G179" s="16" t="s">
        <v>89</v>
      </c>
      <c r="R179" s="16" t="s">
        <v>351</v>
      </c>
      <c r="S179" s="16" t="s">
        <v>351</v>
      </c>
      <c r="T179" s="17" t="s">
        <v>90</v>
      </c>
      <c r="U179" s="16" t="s">
        <v>260</v>
      </c>
      <c r="V179" s="17" t="s">
        <v>260</v>
      </c>
      <c r="W179" s="17" t="s">
        <v>371</v>
      </c>
      <c r="X179" s="16">
        <f t="shared" si="0"/>
        <v>9</v>
      </c>
      <c r="Y179" s="16" t="s">
        <v>583</v>
      </c>
      <c r="AA179" s="16" t="s">
        <v>262</v>
      </c>
      <c r="AC179" s="16" t="s">
        <v>114</v>
      </c>
      <c r="AF179" s="16">
        <f>COUNTIF($AE$2:$AE$250,AE179)</f>
        <v>0</v>
      </c>
      <c r="AH179" s="17"/>
    </row>
    <row r="180" spans="1:34" s="16" customFormat="1" ht="24" customHeight="1" x14ac:dyDescent="0.25">
      <c r="A180" s="16" t="s">
        <v>91</v>
      </c>
      <c r="B180" s="16" t="s">
        <v>91</v>
      </c>
      <c r="C180" s="17" t="s">
        <v>156</v>
      </c>
      <c r="D180" s="16" t="s">
        <v>40</v>
      </c>
      <c r="E180" s="16" t="s">
        <v>40</v>
      </c>
      <c r="F180" s="17" t="s">
        <v>99</v>
      </c>
      <c r="G180" s="16" t="s">
        <v>89</v>
      </c>
      <c r="R180" s="16" t="s">
        <v>351</v>
      </c>
      <c r="S180" s="16" t="s">
        <v>351</v>
      </c>
      <c r="T180" s="17" t="s">
        <v>90</v>
      </c>
      <c r="U180" s="16" t="s">
        <v>164</v>
      </c>
      <c r="V180" s="17" t="s">
        <v>164</v>
      </c>
      <c r="W180" s="17" t="s">
        <v>372</v>
      </c>
      <c r="X180" s="16">
        <f t="shared" si="0"/>
        <v>10</v>
      </c>
      <c r="Y180" s="16" t="s">
        <v>583</v>
      </c>
      <c r="AA180" s="16" t="s">
        <v>263</v>
      </c>
      <c r="AC180" s="16" t="s">
        <v>114</v>
      </c>
      <c r="AF180" s="16">
        <f>COUNTIF($AE$2:$AE$250,AE180)</f>
        <v>0</v>
      </c>
      <c r="AH180" s="17"/>
    </row>
    <row r="181" spans="1:34" s="16" customFormat="1" ht="24" customHeight="1" x14ac:dyDescent="0.25">
      <c r="A181" s="16" t="s">
        <v>91</v>
      </c>
      <c r="B181" s="16" t="s">
        <v>91</v>
      </c>
      <c r="C181" s="17" t="s">
        <v>156</v>
      </c>
      <c r="D181" s="16" t="s">
        <v>40</v>
      </c>
      <c r="E181" s="16" t="s">
        <v>40</v>
      </c>
      <c r="F181" s="17" t="s">
        <v>99</v>
      </c>
      <c r="G181" s="16" t="s">
        <v>89</v>
      </c>
      <c r="R181" s="16" t="s">
        <v>351</v>
      </c>
      <c r="S181" s="16" t="s">
        <v>351</v>
      </c>
      <c r="T181" s="17" t="s">
        <v>90</v>
      </c>
      <c r="U181" s="16" t="s">
        <v>165</v>
      </c>
      <c r="V181" s="17" t="s">
        <v>165</v>
      </c>
      <c r="W181" s="17" t="s">
        <v>373</v>
      </c>
      <c r="X181" s="16">
        <f t="shared" si="0"/>
        <v>11</v>
      </c>
      <c r="Y181" s="16" t="s">
        <v>583</v>
      </c>
      <c r="AA181" s="16" t="s">
        <v>264</v>
      </c>
      <c r="AC181" s="16" t="s">
        <v>114</v>
      </c>
      <c r="AF181" s="16">
        <f>COUNTIF($AE$2:$AE$250,AE181)</f>
        <v>0</v>
      </c>
      <c r="AH181" s="17"/>
    </row>
    <row r="182" spans="1:34" s="16" customFormat="1" ht="24" customHeight="1" x14ac:dyDescent="0.25">
      <c r="A182" s="16" t="s">
        <v>91</v>
      </c>
      <c r="B182" s="16" t="s">
        <v>91</v>
      </c>
      <c r="C182" s="17" t="s">
        <v>156</v>
      </c>
      <c r="D182" s="16" t="s">
        <v>40</v>
      </c>
      <c r="E182" s="16" t="s">
        <v>40</v>
      </c>
      <c r="F182" s="17" t="s">
        <v>99</v>
      </c>
      <c r="G182" s="16" t="s">
        <v>89</v>
      </c>
      <c r="R182" s="16" t="s">
        <v>351</v>
      </c>
      <c r="S182" s="16" t="s">
        <v>351</v>
      </c>
      <c r="T182" s="17" t="s">
        <v>90</v>
      </c>
      <c r="U182" s="16" t="s">
        <v>166</v>
      </c>
      <c r="V182" s="17" t="s">
        <v>166</v>
      </c>
      <c r="W182" s="17" t="s">
        <v>374</v>
      </c>
      <c r="X182" s="16">
        <f t="shared" si="0"/>
        <v>12</v>
      </c>
      <c r="Y182" s="16" t="s">
        <v>583</v>
      </c>
      <c r="AA182" s="16" t="s">
        <v>265</v>
      </c>
      <c r="AC182" s="16" t="s">
        <v>114</v>
      </c>
      <c r="AF182" s="16">
        <f>COUNTIF($AE$2:$AE$250,AE182)</f>
        <v>0</v>
      </c>
      <c r="AH182" s="17"/>
    </row>
    <row r="183" spans="1:34" s="16" customFormat="1" ht="24" customHeight="1" x14ac:dyDescent="0.25">
      <c r="A183" s="16" t="s">
        <v>91</v>
      </c>
      <c r="B183" s="16" t="s">
        <v>91</v>
      </c>
      <c r="C183" s="17" t="s">
        <v>156</v>
      </c>
      <c r="D183" s="16" t="s">
        <v>40</v>
      </c>
      <c r="E183" s="16" t="s">
        <v>40</v>
      </c>
      <c r="F183" s="17" t="s">
        <v>99</v>
      </c>
      <c r="G183" s="16" t="s">
        <v>89</v>
      </c>
      <c r="R183" s="16" t="s">
        <v>351</v>
      </c>
      <c r="S183" s="16" t="s">
        <v>351</v>
      </c>
      <c r="T183" s="17" t="s">
        <v>90</v>
      </c>
      <c r="U183" s="16" t="s">
        <v>340</v>
      </c>
      <c r="V183" s="17" t="s">
        <v>340</v>
      </c>
      <c r="W183" s="17" t="s">
        <v>375</v>
      </c>
      <c r="X183" s="16">
        <f t="shared" si="0"/>
        <v>13</v>
      </c>
      <c r="Y183" s="16" t="s">
        <v>583</v>
      </c>
      <c r="AA183" s="16" t="s">
        <v>341</v>
      </c>
      <c r="AC183" s="16" t="s">
        <v>114</v>
      </c>
      <c r="AF183" s="16">
        <f>COUNTIF($AE$2:$AE$250,AE183)</f>
        <v>0</v>
      </c>
      <c r="AH183" s="17"/>
    </row>
    <row r="184" spans="1:34" s="16" customFormat="1" ht="24" customHeight="1" x14ac:dyDescent="0.25">
      <c r="A184" s="16" t="s">
        <v>91</v>
      </c>
      <c r="B184" s="16" t="s">
        <v>91</v>
      </c>
      <c r="C184" s="17" t="s">
        <v>156</v>
      </c>
      <c r="D184" s="16" t="s">
        <v>40</v>
      </c>
      <c r="E184" s="16" t="s">
        <v>40</v>
      </c>
      <c r="F184" s="17" t="s">
        <v>99</v>
      </c>
      <c r="G184" s="16" t="s">
        <v>89</v>
      </c>
      <c r="R184" s="16" t="s">
        <v>351</v>
      </c>
      <c r="S184" s="16" t="s">
        <v>351</v>
      </c>
      <c r="T184" s="17" t="s">
        <v>90</v>
      </c>
      <c r="U184" s="16" t="s">
        <v>167</v>
      </c>
      <c r="V184" s="17" t="s">
        <v>167</v>
      </c>
      <c r="W184" s="17" t="s">
        <v>376</v>
      </c>
      <c r="X184" s="16">
        <f t="shared" si="0"/>
        <v>14</v>
      </c>
      <c r="Y184" s="16" t="s">
        <v>583</v>
      </c>
      <c r="AA184" s="16" t="s">
        <v>266</v>
      </c>
      <c r="AC184" s="16" t="s">
        <v>114</v>
      </c>
      <c r="AF184" s="16">
        <f>COUNTIF($AE$2:$AE$250,AE184)</f>
        <v>0</v>
      </c>
      <c r="AH184" s="17"/>
    </row>
    <row r="185" spans="1:34" s="16" customFormat="1" ht="24" customHeight="1" x14ac:dyDescent="0.25">
      <c r="A185" s="16" t="s">
        <v>91</v>
      </c>
      <c r="B185" s="16" t="s">
        <v>91</v>
      </c>
      <c r="C185" s="17" t="s">
        <v>156</v>
      </c>
      <c r="D185" s="16" t="s">
        <v>40</v>
      </c>
      <c r="E185" s="16" t="s">
        <v>40</v>
      </c>
      <c r="F185" s="17" t="s">
        <v>99</v>
      </c>
      <c r="G185" s="16" t="s">
        <v>89</v>
      </c>
      <c r="R185" s="16" t="s">
        <v>351</v>
      </c>
      <c r="S185" s="16" t="s">
        <v>351</v>
      </c>
      <c r="T185" s="17" t="s">
        <v>90</v>
      </c>
      <c r="U185" s="16" t="s">
        <v>178</v>
      </c>
      <c r="V185" s="17" t="s">
        <v>178</v>
      </c>
      <c r="W185" s="17" t="s">
        <v>377</v>
      </c>
      <c r="X185" s="16">
        <f t="shared" si="0"/>
        <v>15</v>
      </c>
      <c r="Y185" s="16" t="s">
        <v>583</v>
      </c>
      <c r="AA185" s="16" t="s">
        <v>278</v>
      </c>
      <c r="AC185" s="16" t="s">
        <v>114</v>
      </c>
      <c r="AF185" s="16">
        <f>COUNTIF($AE$2:$AE$250,AE185)</f>
        <v>0</v>
      </c>
      <c r="AH185" s="17"/>
    </row>
    <row r="186" spans="1:34" s="16" customFormat="1" ht="24" customHeight="1" x14ac:dyDescent="0.25">
      <c r="A186" s="16" t="s">
        <v>91</v>
      </c>
      <c r="B186" s="16" t="s">
        <v>91</v>
      </c>
      <c r="C186" s="17" t="s">
        <v>156</v>
      </c>
      <c r="D186" s="16" t="s">
        <v>40</v>
      </c>
      <c r="E186" s="16" t="s">
        <v>40</v>
      </c>
      <c r="F186" s="17" t="s">
        <v>99</v>
      </c>
      <c r="G186" s="16" t="s">
        <v>89</v>
      </c>
      <c r="R186" s="16" t="s">
        <v>351</v>
      </c>
      <c r="S186" s="16" t="s">
        <v>351</v>
      </c>
      <c r="T186" s="17" t="s">
        <v>90</v>
      </c>
      <c r="U186" s="16" t="s">
        <v>179</v>
      </c>
      <c r="V186" s="17" t="s">
        <v>179</v>
      </c>
      <c r="W186" s="17" t="s">
        <v>475</v>
      </c>
      <c r="X186" s="16">
        <f t="shared" si="0"/>
        <v>16</v>
      </c>
      <c r="Y186" s="16" t="s">
        <v>583</v>
      </c>
      <c r="AA186" s="16" t="s">
        <v>279</v>
      </c>
      <c r="AC186" s="16" t="s">
        <v>722</v>
      </c>
      <c r="AF186" s="16">
        <f>COUNTIF($AE$2:$AE$250,AE186)</f>
        <v>0</v>
      </c>
      <c r="AH186" s="17"/>
    </row>
    <row r="187" spans="1:34" s="16" customFormat="1" ht="24" customHeight="1" x14ac:dyDescent="0.25">
      <c r="A187" s="16" t="s">
        <v>91</v>
      </c>
      <c r="B187" s="16" t="s">
        <v>91</v>
      </c>
      <c r="C187" s="17" t="s">
        <v>156</v>
      </c>
      <c r="D187" s="16" t="s">
        <v>40</v>
      </c>
      <c r="E187" s="16" t="s">
        <v>40</v>
      </c>
      <c r="F187" s="17" t="s">
        <v>99</v>
      </c>
      <c r="G187" s="16" t="s">
        <v>89</v>
      </c>
      <c r="R187" s="16" t="s">
        <v>351</v>
      </c>
      <c r="S187" s="16" t="s">
        <v>351</v>
      </c>
      <c r="T187" s="17" t="s">
        <v>90</v>
      </c>
      <c r="U187" s="16" t="s">
        <v>180</v>
      </c>
      <c r="V187" s="17" t="s">
        <v>476</v>
      </c>
      <c r="W187" s="17" t="s">
        <v>477</v>
      </c>
      <c r="X187" s="16">
        <f t="shared" si="0"/>
        <v>17</v>
      </c>
      <c r="Y187" s="16" t="s">
        <v>583</v>
      </c>
      <c r="AA187" s="16" t="s">
        <v>280</v>
      </c>
      <c r="AC187" s="16" t="s">
        <v>114</v>
      </c>
      <c r="AF187" s="16">
        <f>COUNTIF($AE$2:$AE$250,AE187)</f>
        <v>0</v>
      </c>
      <c r="AH187" s="17"/>
    </row>
    <row r="188" spans="1:34" s="16" customFormat="1" ht="24" customHeight="1" x14ac:dyDescent="0.25">
      <c r="A188" s="16" t="s">
        <v>91</v>
      </c>
      <c r="B188" s="16" t="s">
        <v>91</v>
      </c>
      <c r="C188" s="17" t="s">
        <v>156</v>
      </c>
      <c r="D188" s="16" t="s">
        <v>40</v>
      </c>
      <c r="E188" s="16" t="s">
        <v>40</v>
      </c>
      <c r="F188" s="17" t="s">
        <v>99</v>
      </c>
      <c r="G188" s="16" t="s">
        <v>89</v>
      </c>
      <c r="R188" s="16" t="s">
        <v>351</v>
      </c>
      <c r="S188" s="16" t="s">
        <v>351</v>
      </c>
      <c r="T188" s="17" t="s">
        <v>90</v>
      </c>
      <c r="U188" s="16" t="s">
        <v>338</v>
      </c>
      <c r="V188" s="17" t="s">
        <v>338</v>
      </c>
      <c r="W188" s="17" t="s">
        <v>378</v>
      </c>
      <c r="X188" s="16">
        <f t="shared" si="0"/>
        <v>18</v>
      </c>
      <c r="Y188" s="16" t="s">
        <v>339</v>
      </c>
      <c r="AA188" s="16" t="s">
        <v>337</v>
      </c>
      <c r="AC188" s="16" t="s">
        <v>114</v>
      </c>
      <c r="AF188" s="16">
        <f>COUNTIF($AE$2:$AE$250,AE188)</f>
        <v>0</v>
      </c>
      <c r="AH188" s="17"/>
    </row>
    <row r="189" spans="1:34" s="16" customFormat="1" ht="24" customHeight="1" x14ac:dyDescent="0.25">
      <c r="A189" s="16" t="s">
        <v>91</v>
      </c>
      <c r="B189" s="16" t="s">
        <v>91</v>
      </c>
      <c r="C189" s="17" t="s">
        <v>156</v>
      </c>
      <c r="D189" s="16" t="s">
        <v>40</v>
      </c>
      <c r="E189" s="16" t="s">
        <v>40</v>
      </c>
      <c r="F189" s="17" t="s">
        <v>99</v>
      </c>
      <c r="G189" s="16" t="s">
        <v>89</v>
      </c>
      <c r="R189" s="16" t="s">
        <v>351</v>
      </c>
      <c r="S189" s="16" t="s">
        <v>351</v>
      </c>
      <c r="T189" s="17" t="s">
        <v>90</v>
      </c>
      <c r="U189" s="16" t="s">
        <v>181</v>
      </c>
      <c r="V189" s="17" t="s">
        <v>181</v>
      </c>
      <c r="W189" s="17" t="s">
        <v>379</v>
      </c>
      <c r="X189" s="16">
        <f t="shared" si="0"/>
        <v>19</v>
      </c>
      <c r="Y189" s="16" t="s">
        <v>585</v>
      </c>
      <c r="AA189" s="16" t="s">
        <v>289</v>
      </c>
      <c r="AC189" s="16" t="s">
        <v>114</v>
      </c>
      <c r="AF189" s="16">
        <f>COUNTIF($AE$2:$AE$250,AE189)</f>
        <v>0</v>
      </c>
      <c r="AH189" s="17"/>
    </row>
    <row r="190" spans="1:34" s="16" customFormat="1" ht="24" customHeight="1" x14ac:dyDescent="0.25">
      <c r="A190" s="16" t="s">
        <v>91</v>
      </c>
      <c r="B190" s="16" t="s">
        <v>91</v>
      </c>
      <c r="C190" s="17" t="s">
        <v>156</v>
      </c>
      <c r="D190" s="16" t="s">
        <v>40</v>
      </c>
      <c r="E190" s="16" t="s">
        <v>40</v>
      </c>
      <c r="F190" s="17" t="s">
        <v>99</v>
      </c>
      <c r="G190" s="16" t="s">
        <v>89</v>
      </c>
      <c r="R190" s="16" t="s">
        <v>351</v>
      </c>
      <c r="S190" s="16" t="s">
        <v>351</v>
      </c>
      <c r="T190" s="17" t="s">
        <v>90</v>
      </c>
      <c r="U190" s="16" t="s">
        <v>168</v>
      </c>
      <c r="V190" s="17" t="s">
        <v>168</v>
      </c>
      <c r="W190" s="17" t="s">
        <v>484</v>
      </c>
      <c r="X190" s="16">
        <f t="shared" si="0"/>
        <v>20</v>
      </c>
      <c r="Y190" s="16" t="s">
        <v>586</v>
      </c>
      <c r="AA190" s="16" t="s">
        <v>277</v>
      </c>
      <c r="AC190" s="16" t="s">
        <v>722</v>
      </c>
      <c r="AF190" s="16">
        <f>COUNTIF($AE$2:$AE$250,AE190)</f>
        <v>0</v>
      </c>
      <c r="AH190" s="17"/>
    </row>
    <row r="191" spans="1:34" s="16" customFormat="1" ht="24" customHeight="1" x14ac:dyDescent="0.25">
      <c r="A191" s="16" t="s">
        <v>91</v>
      </c>
      <c r="B191" s="16" t="s">
        <v>91</v>
      </c>
      <c r="C191" s="17" t="s">
        <v>156</v>
      </c>
      <c r="D191" s="16" t="s">
        <v>40</v>
      </c>
      <c r="E191" s="16" t="s">
        <v>40</v>
      </c>
      <c r="F191" s="17" t="s">
        <v>99</v>
      </c>
      <c r="G191" s="16" t="s">
        <v>89</v>
      </c>
      <c r="R191" s="16" t="s">
        <v>351</v>
      </c>
      <c r="S191" s="16" t="s">
        <v>351</v>
      </c>
      <c r="T191" s="17" t="s">
        <v>90</v>
      </c>
      <c r="U191" s="16" t="s">
        <v>169</v>
      </c>
      <c r="V191" s="17" t="s">
        <v>169</v>
      </c>
      <c r="W191" s="17" t="s">
        <v>478</v>
      </c>
      <c r="X191" s="16">
        <f t="shared" si="0"/>
        <v>21</v>
      </c>
      <c r="Y191" s="16" t="s">
        <v>583</v>
      </c>
      <c r="AA191" s="16" t="s">
        <v>277</v>
      </c>
      <c r="AC191" s="16" t="s">
        <v>722</v>
      </c>
      <c r="AF191" s="16">
        <f>COUNTIF($AE$2:$AE$250,AE191)</f>
        <v>0</v>
      </c>
      <c r="AH191" s="17"/>
    </row>
    <row r="192" spans="1:34" s="16" customFormat="1" ht="24" customHeight="1" x14ac:dyDescent="0.25">
      <c r="A192" s="16" t="s">
        <v>91</v>
      </c>
      <c r="B192" s="16" t="s">
        <v>91</v>
      </c>
      <c r="C192" s="17" t="s">
        <v>156</v>
      </c>
      <c r="D192" s="16" t="s">
        <v>40</v>
      </c>
      <c r="E192" s="16" t="s">
        <v>40</v>
      </c>
      <c r="F192" s="17" t="s">
        <v>99</v>
      </c>
      <c r="G192" s="16" t="s">
        <v>89</v>
      </c>
      <c r="R192" s="16" t="s">
        <v>351</v>
      </c>
      <c r="S192" s="16" t="s">
        <v>351</v>
      </c>
      <c r="T192" s="17" t="s">
        <v>90</v>
      </c>
      <c r="U192" s="16" t="s">
        <v>170</v>
      </c>
      <c r="V192" s="17" t="s">
        <v>170</v>
      </c>
      <c r="W192" s="17" t="s">
        <v>479</v>
      </c>
      <c r="X192" s="16">
        <f t="shared" si="0"/>
        <v>22</v>
      </c>
      <c r="Y192" s="16" t="s">
        <v>548</v>
      </c>
      <c r="AA192" s="16" t="s">
        <v>276</v>
      </c>
      <c r="AC192" s="16" t="s">
        <v>114</v>
      </c>
      <c r="AF192" s="16">
        <f>COUNTIF($AE$2:$AE$250,AE192)</f>
        <v>0</v>
      </c>
      <c r="AH192" s="17"/>
    </row>
    <row r="193" spans="1:34" s="16" customFormat="1" ht="24" customHeight="1" x14ac:dyDescent="0.25">
      <c r="A193" s="16" t="s">
        <v>91</v>
      </c>
      <c r="B193" s="16" t="s">
        <v>91</v>
      </c>
      <c r="C193" s="17" t="s">
        <v>156</v>
      </c>
      <c r="D193" s="16" t="s">
        <v>40</v>
      </c>
      <c r="E193" s="16" t="s">
        <v>40</v>
      </c>
      <c r="F193" s="17" t="s">
        <v>99</v>
      </c>
      <c r="G193" s="16" t="s">
        <v>89</v>
      </c>
      <c r="R193" s="16" t="s">
        <v>351</v>
      </c>
      <c r="S193" s="16" t="s">
        <v>351</v>
      </c>
      <c r="T193" s="17" t="s">
        <v>90</v>
      </c>
      <c r="U193" s="16" t="s">
        <v>171</v>
      </c>
      <c r="V193" s="17" t="s">
        <v>171</v>
      </c>
      <c r="W193" s="17" t="s">
        <v>480</v>
      </c>
      <c r="X193" s="16">
        <f t="shared" si="0"/>
        <v>23</v>
      </c>
      <c r="Y193" s="16" t="s">
        <v>583</v>
      </c>
      <c r="AA193" s="16" t="s">
        <v>275</v>
      </c>
      <c r="AC193" s="16" t="s">
        <v>114</v>
      </c>
      <c r="AF193" s="16">
        <f>COUNTIF($AE$2:$AE$250,AE193)</f>
        <v>0</v>
      </c>
      <c r="AH193" s="17"/>
    </row>
    <row r="194" spans="1:34" s="16" customFormat="1" ht="24" customHeight="1" x14ac:dyDescent="0.25">
      <c r="A194" s="16" t="s">
        <v>91</v>
      </c>
      <c r="B194" s="16" t="s">
        <v>91</v>
      </c>
      <c r="C194" s="17" t="s">
        <v>156</v>
      </c>
      <c r="D194" s="16" t="s">
        <v>40</v>
      </c>
      <c r="E194" s="16" t="s">
        <v>40</v>
      </c>
      <c r="F194" s="17" t="s">
        <v>99</v>
      </c>
      <c r="G194" s="16" t="s">
        <v>89</v>
      </c>
      <c r="R194" s="16" t="s">
        <v>351</v>
      </c>
      <c r="S194" s="16" t="s">
        <v>351</v>
      </c>
      <c r="T194" s="17" t="s">
        <v>90</v>
      </c>
      <c r="U194" s="16" t="s">
        <v>182</v>
      </c>
      <c r="V194" s="17" t="s">
        <v>182</v>
      </c>
      <c r="W194" s="17" t="s">
        <v>481</v>
      </c>
      <c r="X194" s="16">
        <f t="shared" si="0"/>
        <v>24</v>
      </c>
      <c r="Y194" s="16" t="s">
        <v>339</v>
      </c>
      <c r="AA194" s="16" t="s">
        <v>281</v>
      </c>
      <c r="AC194" s="16" t="s">
        <v>114</v>
      </c>
      <c r="AF194" s="16">
        <f>COUNTIF($AE$2:$AE$250,AE194)</f>
        <v>0</v>
      </c>
      <c r="AH194" s="17"/>
    </row>
    <row r="195" spans="1:34" s="16" customFormat="1" ht="24" customHeight="1" x14ac:dyDescent="0.25">
      <c r="A195" s="16" t="s">
        <v>91</v>
      </c>
      <c r="B195" s="16" t="s">
        <v>91</v>
      </c>
      <c r="C195" s="17" t="s">
        <v>156</v>
      </c>
      <c r="D195" s="16" t="s">
        <v>40</v>
      </c>
      <c r="E195" s="16" t="s">
        <v>40</v>
      </c>
      <c r="F195" s="17" t="s">
        <v>99</v>
      </c>
      <c r="G195" s="16" t="s">
        <v>89</v>
      </c>
      <c r="R195" s="16" t="s">
        <v>351</v>
      </c>
      <c r="S195" s="16" t="s">
        <v>351</v>
      </c>
      <c r="T195" s="17" t="s">
        <v>90</v>
      </c>
      <c r="U195" s="16" t="s">
        <v>183</v>
      </c>
      <c r="V195" s="17" t="s">
        <v>183</v>
      </c>
      <c r="W195" s="17" t="s">
        <v>482</v>
      </c>
      <c r="X195" s="16">
        <f t="shared" si="0"/>
        <v>25</v>
      </c>
      <c r="Y195" s="16" t="s">
        <v>339</v>
      </c>
      <c r="AA195" s="16" t="s">
        <v>282</v>
      </c>
      <c r="AC195" s="16" t="s">
        <v>114</v>
      </c>
      <c r="AF195" s="16">
        <f>COUNTIF($AE$2:$AE$250,AE195)</f>
        <v>0</v>
      </c>
      <c r="AH195" s="17"/>
    </row>
    <row r="196" spans="1:34" s="16" customFormat="1" ht="24" customHeight="1" x14ac:dyDescent="0.25">
      <c r="A196" s="16" t="s">
        <v>91</v>
      </c>
      <c r="B196" s="16" t="s">
        <v>91</v>
      </c>
      <c r="C196" s="17" t="s">
        <v>156</v>
      </c>
      <c r="D196" s="16" t="s">
        <v>40</v>
      </c>
      <c r="E196" s="16" t="s">
        <v>40</v>
      </c>
      <c r="F196" s="17" t="s">
        <v>99</v>
      </c>
      <c r="G196" s="16" t="s">
        <v>89</v>
      </c>
      <c r="K196" s="16" t="s">
        <v>239</v>
      </c>
      <c r="R196" s="16" t="s">
        <v>351</v>
      </c>
      <c r="S196" s="16" t="s">
        <v>351</v>
      </c>
      <c r="T196" s="17" t="s">
        <v>90</v>
      </c>
      <c r="U196" s="16" t="s">
        <v>172</v>
      </c>
      <c r="V196" s="17" t="s">
        <v>172</v>
      </c>
      <c r="W196" s="17" t="s">
        <v>569</v>
      </c>
      <c r="X196" s="16">
        <f t="shared" si="0"/>
        <v>26</v>
      </c>
      <c r="Y196" s="16" t="s">
        <v>339</v>
      </c>
      <c r="AA196" s="16" t="s">
        <v>283</v>
      </c>
      <c r="AC196" s="16" t="s">
        <v>114</v>
      </c>
      <c r="AF196" s="16">
        <f>COUNTIF($AE$2:$AE$250,AE196)</f>
        <v>0</v>
      </c>
      <c r="AH196" s="17"/>
    </row>
    <row r="197" spans="1:34" s="16" customFormat="1" ht="24" customHeight="1" x14ac:dyDescent="0.25">
      <c r="A197" s="16" t="s">
        <v>91</v>
      </c>
      <c r="B197" s="16" t="s">
        <v>91</v>
      </c>
      <c r="C197" s="17" t="s">
        <v>156</v>
      </c>
      <c r="D197" s="16" t="s">
        <v>40</v>
      </c>
      <c r="E197" s="16" t="s">
        <v>40</v>
      </c>
      <c r="F197" s="17" t="s">
        <v>99</v>
      </c>
      <c r="G197" s="16" t="s">
        <v>89</v>
      </c>
      <c r="R197" s="16" t="s">
        <v>351</v>
      </c>
      <c r="S197" s="16" t="s">
        <v>351</v>
      </c>
      <c r="T197" s="17" t="s">
        <v>90</v>
      </c>
      <c r="U197" s="16" t="s">
        <v>173</v>
      </c>
      <c r="V197" s="17" t="s">
        <v>173</v>
      </c>
      <c r="W197" s="17" t="s">
        <v>483</v>
      </c>
      <c r="X197" s="16">
        <f t="shared" si="0"/>
        <v>27</v>
      </c>
      <c r="Y197" s="16" t="s">
        <v>339</v>
      </c>
      <c r="AA197" s="16" t="s">
        <v>284</v>
      </c>
      <c r="AC197" s="16" t="s">
        <v>114</v>
      </c>
      <c r="AF197" s="16">
        <f>COUNTIF($AE$2:$AE$250,AE197)</f>
        <v>0</v>
      </c>
      <c r="AH197" s="17"/>
    </row>
    <row r="198" spans="1:34" s="16" customFormat="1" ht="24" customHeight="1" x14ac:dyDescent="0.25">
      <c r="A198" s="16" t="s">
        <v>91</v>
      </c>
      <c r="B198" s="16" t="s">
        <v>91</v>
      </c>
      <c r="C198" s="17" t="s">
        <v>156</v>
      </c>
      <c r="D198" s="16" t="s">
        <v>40</v>
      </c>
      <c r="E198" s="16" t="s">
        <v>40</v>
      </c>
      <c r="F198" s="17" t="s">
        <v>99</v>
      </c>
      <c r="G198" s="16" t="s">
        <v>89</v>
      </c>
      <c r="R198" s="16" t="s">
        <v>351</v>
      </c>
      <c r="S198" s="16" t="s">
        <v>351</v>
      </c>
      <c r="T198" s="17" t="s">
        <v>90</v>
      </c>
      <c r="U198" s="16" t="s">
        <v>286</v>
      </c>
      <c r="V198" s="17" t="s">
        <v>286</v>
      </c>
      <c r="W198" s="17" t="s">
        <v>570</v>
      </c>
      <c r="X198" s="16">
        <f t="shared" si="0"/>
        <v>28</v>
      </c>
      <c r="Y198" s="16" t="s">
        <v>548</v>
      </c>
      <c r="AA198" s="16" t="s">
        <v>287</v>
      </c>
      <c r="AC198" s="16" t="s">
        <v>114</v>
      </c>
      <c r="AF198" s="16">
        <f>COUNTIF($AE$2:$AE$250,AE198)</f>
        <v>0</v>
      </c>
      <c r="AH198" s="17"/>
    </row>
    <row r="199" spans="1:34" s="16" customFormat="1" ht="24" customHeight="1" x14ac:dyDescent="0.25">
      <c r="A199" s="16" t="s">
        <v>91</v>
      </c>
      <c r="B199" s="16" t="s">
        <v>91</v>
      </c>
      <c r="C199" s="17" t="s">
        <v>156</v>
      </c>
      <c r="D199" s="16" t="s">
        <v>40</v>
      </c>
      <c r="E199" s="16" t="s">
        <v>40</v>
      </c>
      <c r="F199" s="17" t="s">
        <v>99</v>
      </c>
      <c r="G199" s="16" t="s">
        <v>89</v>
      </c>
      <c r="R199" s="16" t="s">
        <v>351</v>
      </c>
      <c r="S199" s="16" t="s">
        <v>351</v>
      </c>
      <c r="T199" s="17" t="s">
        <v>90</v>
      </c>
      <c r="U199" s="16" t="s">
        <v>174</v>
      </c>
      <c r="V199" s="17" t="s">
        <v>174</v>
      </c>
      <c r="W199" s="17" t="s">
        <v>380</v>
      </c>
      <c r="X199" s="16">
        <f t="shared" si="0"/>
        <v>29</v>
      </c>
      <c r="Y199" s="16" t="s">
        <v>586</v>
      </c>
      <c r="AA199" s="16" t="s">
        <v>272</v>
      </c>
      <c r="AC199" s="16" t="s">
        <v>114</v>
      </c>
      <c r="AF199" s="16">
        <f>COUNTIF($AE$2:$AE$250,AE199)</f>
        <v>0</v>
      </c>
      <c r="AH199" s="17"/>
    </row>
    <row r="200" spans="1:34" s="16" customFormat="1" ht="24" customHeight="1" x14ac:dyDescent="0.25">
      <c r="A200" s="16" t="s">
        <v>91</v>
      </c>
      <c r="B200" s="16" t="s">
        <v>91</v>
      </c>
      <c r="C200" s="17" t="s">
        <v>156</v>
      </c>
      <c r="D200" s="16" t="s">
        <v>40</v>
      </c>
      <c r="E200" s="16" t="s">
        <v>40</v>
      </c>
      <c r="F200" s="17" t="s">
        <v>99</v>
      </c>
      <c r="G200" s="16" t="s">
        <v>89</v>
      </c>
      <c r="R200" s="16" t="s">
        <v>351</v>
      </c>
      <c r="S200" s="16" t="s">
        <v>351</v>
      </c>
      <c r="T200" s="17" t="s">
        <v>90</v>
      </c>
      <c r="U200" s="16" t="s">
        <v>175</v>
      </c>
      <c r="V200" s="17" t="s">
        <v>175</v>
      </c>
      <c r="W200" s="17" t="s">
        <v>383</v>
      </c>
      <c r="X200" s="16">
        <f t="shared" si="0"/>
        <v>30</v>
      </c>
      <c r="Y200" s="16" t="s">
        <v>583</v>
      </c>
      <c r="AA200" s="16" t="s">
        <v>288</v>
      </c>
      <c r="AC200" s="16" t="s">
        <v>114</v>
      </c>
      <c r="AF200" s="16">
        <f>COUNTIF($AE$2:$AE$250,AE200)</f>
        <v>0</v>
      </c>
      <c r="AH200" s="17"/>
    </row>
    <row r="201" spans="1:34" s="16" customFormat="1" ht="24" customHeight="1" x14ac:dyDescent="0.25">
      <c r="A201" s="16" t="s">
        <v>91</v>
      </c>
      <c r="B201" s="16" t="s">
        <v>91</v>
      </c>
      <c r="C201" s="17" t="s">
        <v>156</v>
      </c>
      <c r="D201" s="16" t="s">
        <v>40</v>
      </c>
      <c r="E201" s="16" t="s">
        <v>40</v>
      </c>
      <c r="F201" s="17" t="s">
        <v>99</v>
      </c>
      <c r="G201" s="16" t="s">
        <v>89</v>
      </c>
      <c r="R201" s="16" t="s">
        <v>351</v>
      </c>
      <c r="S201" s="16" t="s">
        <v>351</v>
      </c>
      <c r="T201" s="17" t="s">
        <v>90</v>
      </c>
      <c r="U201" s="16" t="s">
        <v>331</v>
      </c>
      <c r="V201" s="17" t="s">
        <v>331</v>
      </c>
      <c r="W201" s="17" t="s">
        <v>381</v>
      </c>
      <c r="X201" s="16">
        <f t="shared" si="0"/>
        <v>31</v>
      </c>
      <c r="Y201" s="16" t="s">
        <v>586</v>
      </c>
      <c r="AC201" s="16" t="s">
        <v>114</v>
      </c>
      <c r="AF201" s="16">
        <f>COUNTIF($AE$2:$AE$250,AE201)</f>
        <v>0</v>
      </c>
      <c r="AH201" s="17"/>
    </row>
    <row r="202" spans="1:34" s="16" customFormat="1" ht="24" customHeight="1" x14ac:dyDescent="0.25">
      <c r="A202" s="16" t="s">
        <v>91</v>
      </c>
      <c r="B202" s="16" t="s">
        <v>91</v>
      </c>
      <c r="C202" s="17" t="s">
        <v>156</v>
      </c>
      <c r="D202" s="16" t="s">
        <v>40</v>
      </c>
      <c r="E202" s="16" t="s">
        <v>40</v>
      </c>
      <c r="F202" s="17" t="s">
        <v>99</v>
      </c>
      <c r="G202" s="16" t="s">
        <v>89</v>
      </c>
      <c r="R202" s="16" t="s">
        <v>351</v>
      </c>
      <c r="S202" s="16" t="s">
        <v>351</v>
      </c>
      <c r="T202" s="17" t="s">
        <v>90</v>
      </c>
      <c r="U202" s="16" t="s">
        <v>332</v>
      </c>
      <c r="V202" s="17" t="s">
        <v>332</v>
      </c>
      <c r="W202" s="17" t="s">
        <v>382</v>
      </c>
      <c r="X202" s="16">
        <f t="shared" si="0"/>
        <v>32</v>
      </c>
      <c r="Y202" s="16" t="s">
        <v>583</v>
      </c>
      <c r="AC202" s="16" t="s">
        <v>114</v>
      </c>
      <c r="AF202" s="16">
        <f>COUNTIF($AE$2:$AE$250,AE202)</f>
        <v>0</v>
      </c>
      <c r="AH202" s="17"/>
    </row>
    <row r="203" spans="1:34" s="16" customFormat="1" ht="24" customHeight="1" x14ac:dyDescent="0.25">
      <c r="A203" s="16" t="s">
        <v>91</v>
      </c>
      <c r="B203" s="16" t="s">
        <v>91</v>
      </c>
      <c r="C203" s="17" t="s">
        <v>156</v>
      </c>
      <c r="D203" s="16" t="s">
        <v>40</v>
      </c>
      <c r="E203" s="16" t="s">
        <v>40</v>
      </c>
      <c r="F203" s="17" t="s">
        <v>99</v>
      </c>
      <c r="G203" s="16" t="s">
        <v>89</v>
      </c>
      <c r="R203" s="16" t="s">
        <v>351</v>
      </c>
      <c r="S203" s="16" t="s">
        <v>351</v>
      </c>
      <c r="T203" s="17" t="s">
        <v>90</v>
      </c>
      <c r="U203" s="16" t="s">
        <v>386</v>
      </c>
      <c r="V203" s="17" t="s">
        <v>386</v>
      </c>
      <c r="W203" s="17" t="s">
        <v>384</v>
      </c>
      <c r="X203" s="16">
        <f t="shared" si="0"/>
        <v>33</v>
      </c>
      <c r="Y203" s="16" t="s">
        <v>583</v>
      </c>
      <c r="AA203" s="16" t="s">
        <v>273</v>
      </c>
      <c r="AC203" s="16" t="s">
        <v>114</v>
      </c>
      <c r="AF203" s="16">
        <f>COUNTIF($AE$2:$AE$250,AE203)</f>
        <v>0</v>
      </c>
      <c r="AH203" s="17"/>
    </row>
    <row r="204" spans="1:34" s="16" customFormat="1" ht="24" customHeight="1" x14ac:dyDescent="0.25">
      <c r="A204" s="16" t="s">
        <v>91</v>
      </c>
      <c r="B204" s="16" t="s">
        <v>91</v>
      </c>
      <c r="C204" s="17" t="s">
        <v>156</v>
      </c>
      <c r="D204" s="16" t="s">
        <v>40</v>
      </c>
      <c r="E204" s="16" t="s">
        <v>40</v>
      </c>
      <c r="F204" s="17" t="s">
        <v>99</v>
      </c>
      <c r="G204" s="16" t="s">
        <v>89</v>
      </c>
      <c r="R204" s="16" t="s">
        <v>351</v>
      </c>
      <c r="S204" s="16" t="s">
        <v>351</v>
      </c>
      <c r="T204" s="17" t="s">
        <v>90</v>
      </c>
      <c r="U204" s="16" t="s">
        <v>176</v>
      </c>
      <c r="V204" s="17" t="s">
        <v>176</v>
      </c>
      <c r="W204" s="17" t="s">
        <v>385</v>
      </c>
      <c r="X204" s="16">
        <f t="shared" si="0"/>
        <v>34</v>
      </c>
      <c r="Y204" s="16" t="s">
        <v>586</v>
      </c>
      <c r="AC204" s="16" t="s">
        <v>114</v>
      </c>
      <c r="AF204" s="16">
        <f>COUNTIF($AE$2:$AE$250,AE204)</f>
        <v>0</v>
      </c>
      <c r="AH204" s="17"/>
    </row>
    <row r="205" spans="1:34" s="16" customFormat="1" ht="24" customHeight="1" x14ac:dyDescent="0.25">
      <c r="A205" s="16" t="s">
        <v>91</v>
      </c>
      <c r="B205" s="16" t="s">
        <v>91</v>
      </c>
      <c r="C205" s="17" t="s">
        <v>156</v>
      </c>
      <c r="D205" s="16" t="s">
        <v>40</v>
      </c>
      <c r="E205" s="16" t="s">
        <v>40</v>
      </c>
      <c r="F205" s="17" t="s">
        <v>99</v>
      </c>
      <c r="G205" s="16" t="s">
        <v>89</v>
      </c>
      <c r="R205" s="16" t="s">
        <v>351</v>
      </c>
      <c r="S205" s="16" t="s">
        <v>351</v>
      </c>
      <c r="T205" s="17" t="s">
        <v>90</v>
      </c>
      <c r="U205" s="16" t="s">
        <v>330</v>
      </c>
      <c r="V205" s="17" t="s">
        <v>330</v>
      </c>
      <c r="W205" s="17" t="s">
        <v>388</v>
      </c>
      <c r="X205" s="16">
        <f t="shared" si="0"/>
        <v>35</v>
      </c>
      <c r="Y205" s="16" t="s">
        <v>583</v>
      </c>
      <c r="AC205" s="16" t="s">
        <v>114</v>
      </c>
      <c r="AF205" s="16">
        <f>COUNTIF($AE$2:$AE$250,AE205)</f>
        <v>0</v>
      </c>
      <c r="AH205" s="17"/>
    </row>
    <row r="206" spans="1:34" s="16" customFormat="1" ht="24" customHeight="1" x14ac:dyDescent="0.25">
      <c r="A206" s="16" t="s">
        <v>91</v>
      </c>
      <c r="B206" s="16" t="s">
        <v>91</v>
      </c>
      <c r="C206" s="17" t="s">
        <v>156</v>
      </c>
      <c r="D206" s="16" t="s">
        <v>40</v>
      </c>
      <c r="E206" s="16" t="s">
        <v>40</v>
      </c>
      <c r="F206" s="17" t="s">
        <v>99</v>
      </c>
      <c r="G206" s="16" t="s">
        <v>89</v>
      </c>
      <c r="R206" s="16" t="s">
        <v>351</v>
      </c>
      <c r="S206" s="16" t="s">
        <v>351</v>
      </c>
      <c r="T206" s="17" t="s">
        <v>90</v>
      </c>
      <c r="U206" s="16" t="s">
        <v>389</v>
      </c>
      <c r="V206" s="17" t="s">
        <v>389</v>
      </c>
      <c r="W206" s="17" t="s">
        <v>387</v>
      </c>
      <c r="X206" s="16">
        <f t="shared" si="0"/>
        <v>36</v>
      </c>
      <c r="Y206" s="16" t="s">
        <v>583</v>
      </c>
      <c r="AC206" s="16" t="s">
        <v>114</v>
      </c>
      <c r="AF206" s="16">
        <f>COUNTIF($AE$2:$AE$250,AE206)</f>
        <v>0</v>
      </c>
      <c r="AH206" s="17"/>
    </row>
    <row r="207" spans="1:34" s="16" customFormat="1" ht="24" customHeight="1" x14ac:dyDescent="0.25">
      <c r="A207" s="16" t="s">
        <v>91</v>
      </c>
      <c r="B207" s="16" t="s">
        <v>91</v>
      </c>
      <c r="C207" s="17" t="s">
        <v>156</v>
      </c>
      <c r="D207" s="16" t="s">
        <v>40</v>
      </c>
      <c r="E207" s="16" t="s">
        <v>40</v>
      </c>
      <c r="F207" s="17" t="s">
        <v>99</v>
      </c>
      <c r="G207" s="16" t="s">
        <v>89</v>
      </c>
      <c r="R207" s="16" t="s">
        <v>351</v>
      </c>
      <c r="S207" s="16" t="s">
        <v>351</v>
      </c>
      <c r="T207" s="17" t="s">
        <v>90</v>
      </c>
      <c r="U207" s="16" t="s">
        <v>177</v>
      </c>
      <c r="V207" s="17" t="s">
        <v>177</v>
      </c>
      <c r="W207" s="17" t="s">
        <v>390</v>
      </c>
      <c r="X207" s="16">
        <f t="shared" si="0"/>
        <v>37</v>
      </c>
      <c r="Y207" s="16" t="s">
        <v>583</v>
      </c>
      <c r="AA207" s="16" t="s">
        <v>274</v>
      </c>
      <c r="AC207" s="16" t="s">
        <v>114</v>
      </c>
      <c r="AF207" s="16">
        <f>COUNTIF($AE$2:$AE$250,AE207)</f>
        <v>0</v>
      </c>
      <c r="AH207" s="17"/>
    </row>
    <row r="208" spans="1:34" s="16" customFormat="1" ht="24" customHeight="1" x14ac:dyDescent="0.25">
      <c r="A208" s="16" t="s">
        <v>91</v>
      </c>
      <c r="B208" s="16" t="s">
        <v>91</v>
      </c>
      <c r="C208" s="17" t="s">
        <v>156</v>
      </c>
      <c r="D208" s="16" t="s">
        <v>40</v>
      </c>
      <c r="E208" s="16" t="s">
        <v>40</v>
      </c>
      <c r="F208" s="17" t="s">
        <v>99</v>
      </c>
      <c r="G208" s="16" t="s">
        <v>89</v>
      </c>
      <c r="R208" s="16" t="s">
        <v>351</v>
      </c>
      <c r="S208" s="16" t="s">
        <v>351</v>
      </c>
      <c r="T208" s="17" t="s">
        <v>90</v>
      </c>
      <c r="U208" s="16" t="s">
        <v>347</v>
      </c>
      <c r="V208" s="17" t="s">
        <v>347</v>
      </c>
      <c r="W208" s="17" t="s">
        <v>399</v>
      </c>
      <c r="X208" s="16">
        <f t="shared" si="0"/>
        <v>38</v>
      </c>
      <c r="Y208" s="16" t="s">
        <v>583</v>
      </c>
      <c r="AA208" s="16" t="s">
        <v>350</v>
      </c>
      <c r="AB208" s="16" t="s">
        <v>582</v>
      </c>
      <c r="AC208" s="16" t="s">
        <v>114</v>
      </c>
      <c r="AF208" s="16">
        <f>COUNTIF($AE$2:$AE$250,AE208)</f>
        <v>0</v>
      </c>
      <c r="AH208" s="17"/>
    </row>
    <row r="209" spans="1:43" s="16" customFormat="1" ht="24" customHeight="1" x14ac:dyDescent="0.25">
      <c r="A209" s="16" t="s">
        <v>91</v>
      </c>
      <c r="B209" s="16" t="s">
        <v>91</v>
      </c>
      <c r="C209" s="17" t="s">
        <v>156</v>
      </c>
      <c r="D209" s="16" t="s">
        <v>40</v>
      </c>
      <c r="E209" s="16" t="s">
        <v>40</v>
      </c>
      <c r="F209" s="17" t="s">
        <v>99</v>
      </c>
      <c r="G209" s="16" t="s">
        <v>89</v>
      </c>
      <c r="R209" s="16" t="s">
        <v>351</v>
      </c>
      <c r="S209" s="16" t="s">
        <v>351</v>
      </c>
      <c r="T209" s="17" t="s">
        <v>90</v>
      </c>
      <c r="U209" s="16" t="s">
        <v>348</v>
      </c>
      <c r="V209" s="17" t="s">
        <v>348</v>
      </c>
      <c r="W209" s="17" t="s">
        <v>400</v>
      </c>
      <c r="X209" s="16">
        <f t="shared" si="0"/>
        <v>39</v>
      </c>
      <c r="Y209" s="16" t="s">
        <v>548</v>
      </c>
      <c r="AA209" s="16" t="s">
        <v>349</v>
      </c>
      <c r="AB209" s="16" t="s">
        <v>581</v>
      </c>
      <c r="AC209" s="16" t="s">
        <v>114</v>
      </c>
      <c r="AF209" s="16">
        <f>COUNTIF($AE$2:$AE$250,AE209)</f>
        <v>0</v>
      </c>
      <c r="AH209" s="17"/>
    </row>
    <row r="210" spans="1:43" s="16" customFormat="1" ht="24" customHeight="1" x14ac:dyDescent="0.25">
      <c r="A210" s="16" t="s">
        <v>91</v>
      </c>
      <c r="B210" s="16" t="s">
        <v>91</v>
      </c>
      <c r="C210" s="17" t="s">
        <v>156</v>
      </c>
      <c r="D210" s="16" t="s">
        <v>40</v>
      </c>
      <c r="E210" s="16" t="s">
        <v>40</v>
      </c>
      <c r="F210" s="17" t="s">
        <v>99</v>
      </c>
      <c r="G210" s="16" t="s">
        <v>89</v>
      </c>
      <c r="R210" s="16" t="s">
        <v>351</v>
      </c>
      <c r="S210" s="16" t="s">
        <v>351</v>
      </c>
      <c r="T210" s="17" t="s">
        <v>90</v>
      </c>
      <c r="U210" s="16" t="s">
        <v>397</v>
      </c>
      <c r="V210" s="17" t="s">
        <v>397</v>
      </c>
      <c r="W210" s="17" t="s">
        <v>398</v>
      </c>
      <c r="X210" s="16">
        <f t="shared" si="0"/>
        <v>40</v>
      </c>
      <c r="Y210" s="16" t="s">
        <v>58</v>
      </c>
      <c r="AA210" s="16" t="s">
        <v>352</v>
      </c>
      <c r="AB210" s="16" t="s">
        <v>605</v>
      </c>
      <c r="AC210" s="16" t="s">
        <v>114</v>
      </c>
      <c r="AF210" s="16">
        <f>COUNTIF($AE$2:$AE$250,AE210)</f>
        <v>0</v>
      </c>
      <c r="AH210" s="17"/>
    </row>
    <row r="211" spans="1:43" s="16" customFormat="1" ht="24" customHeight="1" x14ac:dyDescent="0.25">
      <c r="A211" s="16" t="s">
        <v>91</v>
      </c>
      <c r="B211" s="16" t="s">
        <v>91</v>
      </c>
      <c r="C211" s="17" t="s">
        <v>156</v>
      </c>
      <c r="D211" s="16" t="s">
        <v>40</v>
      </c>
      <c r="E211" s="16" t="s">
        <v>40</v>
      </c>
      <c r="F211" s="17" t="s">
        <v>99</v>
      </c>
      <c r="G211" s="16" t="s">
        <v>89</v>
      </c>
      <c r="R211" s="16" t="s">
        <v>351</v>
      </c>
      <c r="S211" s="16" t="s">
        <v>351</v>
      </c>
      <c r="T211" s="17" t="s">
        <v>90</v>
      </c>
      <c r="U211" s="16" t="s">
        <v>335</v>
      </c>
      <c r="V211" s="17" t="s">
        <v>335</v>
      </c>
      <c r="W211" s="17" t="s">
        <v>467</v>
      </c>
      <c r="X211" s="16">
        <f t="shared" si="0"/>
        <v>41</v>
      </c>
      <c r="Y211" s="16" t="s">
        <v>583</v>
      </c>
      <c r="AA211" s="16" t="s">
        <v>472</v>
      </c>
      <c r="AC211" s="16" t="s">
        <v>722</v>
      </c>
      <c r="AF211" s="16">
        <f>COUNTIF($AE$2:$AE$250,AE211)</f>
        <v>0</v>
      </c>
      <c r="AH211" s="17"/>
    </row>
    <row r="212" spans="1:43" s="16" customFormat="1" ht="24" customHeight="1" x14ac:dyDescent="0.25">
      <c r="A212" s="16" t="s">
        <v>91</v>
      </c>
      <c r="B212" s="16" t="s">
        <v>91</v>
      </c>
      <c r="C212" s="17" t="s">
        <v>156</v>
      </c>
      <c r="D212" s="16" t="s">
        <v>40</v>
      </c>
      <c r="E212" s="16" t="s">
        <v>40</v>
      </c>
      <c r="F212" s="17" t="s">
        <v>99</v>
      </c>
      <c r="G212" s="16" t="s">
        <v>89</v>
      </c>
      <c r="R212" s="16" t="s">
        <v>351</v>
      </c>
      <c r="S212" s="16" t="s">
        <v>351</v>
      </c>
      <c r="T212" s="17" t="s">
        <v>90</v>
      </c>
      <c r="U212" s="16" t="s">
        <v>468</v>
      </c>
      <c r="V212" s="16" t="s">
        <v>468</v>
      </c>
      <c r="W212" s="17" t="s">
        <v>473</v>
      </c>
      <c r="X212" s="16">
        <f t="shared" si="0"/>
        <v>42</v>
      </c>
      <c r="Y212" s="16" t="s">
        <v>583</v>
      </c>
      <c r="AA212" s="16" t="s">
        <v>470</v>
      </c>
      <c r="AC212" s="16" t="s">
        <v>114</v>
      </c>
      <c r="AF212" s="16">
        <f>COUNTIF($AE$2:$AE$250,AE212)</f>
        <v>0</v>
      </c>
      <c r="AH212" s="17"/>
    </row>
    <row r="213" spans="1:43" s="16" customFormat="1" ht="24" customHeight="1" x14ac:dyDescent="0.25">
      <c r="A213" s="16" t="s">
        <v>91</v>
      </c>
      <c r="B213" s="16" t="s">
        <v>91</v>
      </c>
      <c r="C213" s="17" t="s">
        <v>156</v>
      </c>
      <c r="D213" s="16" t="s">
        <v>40</v>
      </c>
      <c r="E213" s="16" t="s">
        <v>40</v>
      </c>
      <c r="F213" s="17" t="s">
        <v>99</v>
      </c>
      <c r="G213" s="16" t="s">
        <v>89</v>
      </c>
      <c r="R213" s="16" t="s">
        <v>351</v>
      </c>
      <c r="S213" s="16" t="s">
        <v>351</v>
      </c>
      <c r="T213" s="17" t="s">
        <v>90</v>
      </c>
      <c r="U213" s="16" t="s">
        <v>469</v>
      </c>
      <c r="V213" s="16" t="s">
        <v>469</v>
      </c>
      <c r="W213" s="17" t="s">
        <v>474</v>
      </c>
      <c r="X213" s="16">
        <f t="shared" si="0"/>
        <v>43</v>
      </c>
      <c r="Y213" s="16" t="s">
        <v>583</v>
      </c>
      <c r="AA213" s="16" t="s">
        <v>471</v>
      </c>
      <c r="AC213" s="16" t="s">
        <v>114</v>
      </c>
      <c r="AF213" s="16">
        <f>COUNTIF($AE$2:$AE$250,AE213)</f>
        <v>0</v>
      </c>
      <c r="AH213" s="17"/>
    </row>
    <row r="214" spans="1:43" s="16" customFormat="1" ht="24" customHeight="1" x14ac:dyDescent="0.25">
      <c r="A214" s="16" t="s">
        <v>91</v>
      </c>
      <c r="B214" s="16" t="s">
        <v>91</v>
      </c>
      <c r="C214" s="17" t="s">
        <v>156</v>
      </c>
      <c r="D214" s="16" t="s">
        <v>40</v>
      </c>
      <c r="E214" s="16" t="s">
        <v>40</v>
      </c>
      <c r="F214" s="17" t="s">
        <v>99</v>
      </c>
      <c r="G214" s="16" t="s">
        <v>89</v>
      </c>
      <c r="R214" s="16" t="s">
        <v>351</v>
      </c>
      <c r="S214" s="16" t="s">
        <v>351</v>
      </c>
      <c r="T214" s="17" t="s">
        <v>90</v>
      </c>
      <c r="U214" s="16" t="s">
        <v>525</v>
      </c>
      <c r="V214" s="16" t="s">
        <v>525</v>
      </c>
      <c r="W214" s="17" t="s">
        <v>526</v>
      </c>
      <c r="X214" s="16">
        <f t="shared" si="0"/>
        <v>44</v>
      </c>
      <c r="Y214" s="16" t="s">
        <v>583</v>
      </c>
      <c r="AA214" s="16" t="s">
        <v>471</v>
      </c>
      <c r="AC214" s="16" t="s">
        <v>114</v>
      </c>
      <c r="AF214" s="16">
        <f>COUNTIF($AE$2:$AE$250,AE214)</f>
        <v>0</v>
      </c>
      <c r="AH214" s="17"/>
    </row>
    <row r="215" spans="1:43" s="16" customFormat="1" ht="24" customHeight="1" x14ac:dyDescent="0.25">
      <c r="A215" s="16" t="s">
        <v>91</v>
      </c>
      <c r="B215" s="16" t="s">
        <v>91</v>
      </c>
      <c r="C215" s="17" t="s">
        <v>156</v>
      </c>
      <c r="D215" s="16" t="s">
        <v>40</v>
      </c>
      <c r="E215" s="16" t="s">
        <v>40</v>
      </c>
      <c r="F215" s="17" t="s">
        <v>99</v>
      </c>
      <c r="G215" s="16" t="s">
        <v>89</v>
      </c>
      <c r="R215" s="16" t="s">
        <v>40</v>
      </c>
      <c r="S215" s="16" t="s">
        <v>40</v>
      </c>
      <c r="T215" s="17" t="s">
        <v>90</v>
      </c>
      <c r="U215" s="16" t="s">
        <v>112</v>
      </c>
      <c r="V215" s="17" t="s">
        <v>113</v>
      </c>
      <c r="W215" s="17" t="s">
        <v>363</v>
      </c>
      <c r="X215" s="16">
        <v>0</v>
      </c>
      <c r="Y215" s="16" t="s">
        <v>230</v>
      </c>
      <c r="AB215" s="16" t="s">
        <v>573</v>
      </c>
      <c r="AC215" s="16" t="s">
        <v>722</v>
      </c>
      <c r="AD215" s="16" t="s">
        <v>114</v>
      </c>
      <c r="AF215" s="16">
        <f>COUNTIF($AE$2:$AE$250,AE215)</f>
        <v>0</v>
      </c>
      <c r="AH215" s="17"/>
    </row>
    <row r="216" spans="1:43" s="16" customFormat="1" ht="24" customHeight="1" x14ac:dyDescent="0.25">
      <c r="A216" s="16" t="s">
        <v>91</v>
      </c>
      <c r="B216" s="16" t="s">
        <v>91</v>
      </c>
      <c r="C216" s="17" t="s">
        <v>156</v>
      </c>
      <c r="D216" s="16" t="s">
        <v>40</v>
      </c>
      <c r="E216" s="16" t="s">
        <v>40</v>
      </c>
      <c r="F216" s="17" t="s">
        <v>99</v>
      </c>
      <c r="G216" s="16" t="s">
        <v>89</v>
      </c>
      <c r="R216" s="16" t="s">
        <v>40</v>
      </c>
      <c r="S216" s="16" t="s">
        <v>40</v>
      </c>
      <c r="T216" s="17" t="s">
        <v>90</v>
      </c>
      <c r="U216" s="16" t="s">
        <v>124</v>
      </c>
      <c r="V216" s="17" t="s">
        <v>126</v>
      </c>
      <c r="W216" s="17" t="s">
        <v>369</v>
      </c>
      <c r="X216" s="16">
        <v>1</v>
      </c>
      <c r="Y216" s="16" t="s">
        <v>230</v>
      </c>
      <c r="AB216" s="16" t="s">
        <v>633</v>
      </c>
      <c r="AC216" s="16" t="s">
        <v>722</v>
      </c>
      <c r="AE216" s="16" t="s">
        <v>71</v>
      </c>
      <c r="AF216" s="16">
        <f>COUNTIF($AE$2:$AE$250,AE216)</f>
        <v>1</v>
      </c>
      <c r="AG216" s="16" t="s">
        <v>71</v>
      </c>
      <c r="AH216" s="17" t="s">
        <v>72</v>
      </c>
      <c r="AI216" s="16" t="s">
        <v>158</v>
      </c>
      <c r="AJ216" s="16" t="s">
        <v>91</v>
      </c>
      <c r="AK216" s="16" t="s">
        <v>40</v>
      </c>
      <c r="AL216" s="16" t="s">
        <v>124</v>
      </c>
      <c r="AM216" s="16" t="s">
        <v>69</v>
      </c>
      <c r="AN216" s="16" t="s">
        <v>91</v>
      </c>
      <c r="AO216" s="16" t="s">
        <v>122</v>
      </c>
      <c r="AP216" s="16" t="s">
        <v>124</v>
      </c>
      <c r="AQ216" s="16" t="s">
        <v>70</v>
      </c>
    </row>
    <row r="217" spans="1:43" s="16" customFormat="1" ht="24" customHeight="1" x14ac:dyDescent="0.25">
      <c r="A217" s="16" t="s">
        <v>91</v>
      </c>
      <c r="B217" s="16" t="s">
        <v>91</v>
      </c>
      <c r="C217" s="17" t="s">
        <v>156</v>
      </c>
      <c r="D217" s="16" t="s">
        <v>40</v>
      </c>
      <c r="E217" s="16" t="s">
        <v>40</v>
      </c>
      <c r="F217" s="17" t="s">
        <v>99</v>
      </c>
      <c r="G217" s="16" t="s">
        <v>89</v>
      </c>
      <c r="R217" s="16" t="s">
        <v>40</v>
      </c>
      <c r="S217" s="16" t="s">
        <v>40</v>
      </c>
      <c r="T217" s="17" t="s">
        <v>90</v>
      </c>
      <c r="U217" s="16" t="s">
        <v>336</v>
      </c>
      <c r="V217" s="17" t="s">
        <v>336</v>
      </c>
      <c r="W217" s="17" t="s">
        <v>370</v>
      </c>
      <c r="X217" s="16">
        <v>3</v>
      </c>
      <c r="Y217" s="16" t="s">
        <v>583</v>
      </c>
      <c r="AC217" s="16" t="s">
        <v>722</v>
      </c>
      <c r="AF217" s="16">
        <f>COUNTIF($AE$2:$AE$250,AE217)</f>
        <v>0</v>
      </c>
      <c r="AH217" s="17"/>
    </row>
    <row r="218" spans="1:43" s="16" customFormat="1" ht="24" customHeight="1" x14ac:dyDescent="0.25">
      <c r="A218" s="16" t="s">
        <v>91</v>
      </c>
      <c r="B218" s="16" t="s">
        <v>91</v>
      </c>
      <c r="C218" s="17" t="s">
        <v>156</v>
      </c>
      <c r="D218" s="16" t="s">
        <v>40</v>
      </c>
      <c r="E218" s="16" t="s">
        <v>40</v>
      </c>
      <c r="F218" s="17" t="s">
        <v>99</v>
      </c>
      <c r="G218" s="16" t="s">
        <v>89</v>
      </c>
      <c r="R218" s="16" t="s">
        <v>40</v>
      </c>
      <c r="S218" s="16" t="s">
        <v>40</v>
      </c>
      <c r="T218" s="17" t="s">
        <v>90</v>
      </c>
      <c r="U218" s="16" t="s">
        <v>181</v>
      </c>
      <c r="V218" s="17" t="s">
        <v>181</v>
      </c>
      <c r="W218" s="17" t="s">
        <v>379</v>
      </c>
      <c r="X218" s="16">
        <v>4</v>
      </c>
      <c r="Y218" s="16" t="s">
        <v>585</v>
      </c>
      <c r="AA218" s="16" t="s">
        <v>289</v>
      </c>
      <c r="AC218" s="16" t="s">
        <v>722</v>
      </c>
      <c r="AF218" s="16">
        <f>COUNTIF($AE$2:$AE$250,AE218)</f>
        <v>0</v>
      </c>
      <c r="AH218" s="17"/>
    </row>
    <row r="219" spans="1:43" s="16" customFormat="1" ht="24" customHeight="1" x14ac:dyDescent="0.25">
      <c r="A219" s="16" t="s">
        <v>91</v>
      </c>
      <c r="B219" s="16" t="s">
        <v>91</v>
      </c>
      <c r="C219" s="17" t="s">
        <v>156</v>
      </c>
      <c r="D219" s="16" t="s">
        <v>40</v>
      </c>
      <c r="E219" s="16" t="s">
        <v>40</v>
      </c>
      <c r="F219" s="17" t="s">
        <v>99</v>
      </c>
      <c r="G219" s="16" t="s">
        <v>89</v>
      </c>
      <c r="R219" s="16" t="s">
        <v>40</v>
      </c>
      <c r="S219" s="16" t="s">
        <v>40</v>
      </c>
      <c r="T219" s="17" t="s">
        <v>90</v>
      </c>
      <c r="U219" s="16" t="s">
        <v>575</v>
      </c>
      <c r="V219" s="16" t="s">
        <v>575</v>
      </c>
      <c r="W219" s="17" t="s">
        <v>484</v>
      </c>
      <c r="X219" s="16">
        <v>5</v>
      </c>
      <c r="Y219" s="16" t="s">
        <v>586</v>
      </c>
      <c r="AA219" s="16" t="s">
        <v>277</v>
      </c>
      <c r="AC219" s="16" t="s">
        <v>722</v>
      </c>
      <c r="AF219" s="16">
        <f>COUNTIF($AE$2:$AE$250,AE219)</f>
        <v>0</v>
      </c>
      <c r="AH219" s="17"/>
    </row>
    <row r="220" spans="1:43" s="16" customFormat="1" ht="24" customHeight="1" x14ac:dyDescent="0.25">
      <c r="A220" s="16" t="s">
        <v>91</v>
      </c>
      <c r="B220" s="16" t="s">
        <v>91</v>
      </c>
      <c r="C220" s="17" t="s">
        <v>156</v>
      </c>
      <c r="D220" s="16" t="s">
        <v>40</v>
      </c>
      <c r="E220" s="16" t="s">
        <v>40</v>
      </c>
      <c r="F220" s="17" t="s">
        <v>99</v>
      </c>
      <c r="G220" s="16" t="s">
        <v>89</v>
      </c>
      <c r="R220" s="16" t="s">
        <v>40</v>
      </c>
      <c r="S220" s="16" t="s">
        <v>40</v>
      </c>
      <c r="T220" s="17" t="s">
        <v>90</v>
      </c>
      <c r="U220" s="16" t="s">
        <v>584</v>
      </c>
      <c r="V220" s="16" t="s">
        <v>584</v>
      </c>
      <c r="W220" s="17" t="s">
        <v>478</v>
      </c>
      <c r="X220" s="16">
        <f t="shared" ref="X220:X228" si="1">SUM(X219,1)</f>
        <v>6</v>
      </c>
      <c r="Y220" s="16" t="s">
        <v>583</v>
      </c>
      <c r="AA220" s="16" t="s">
        <v>277</v>
      </c>
      <c r="AC220" s="16" t="s">
        <v>722</v>
      </c>
      <c r="AF220" s="16">
        <f>COUNTIF($AE$2:$AE$250,AE220)</f>
        <v>0</v>
      </c>
      <c r="AH220" s="17"/>
    </row>
    <row r="221" spans="1:43" s="16" customFormat="1" ht="24" customHeight="1" x14ac:dyDescent="0.25">
      <c r="A221" s="16" t="s">
        <v>91</v>
      </c>
      <c r="B221" s="16" t="s">
        <v>91</v>
      </c>
      <c r="C221" s="17" t="s">
        <v>156</v>
      </c>
      <c r="D221" s="16" t="s">
        <v>40</v>
      </c>
      <c r="E221" s="16" t="s">
        <v>40</v>
      </c>
      <c r="F221" s="17" t="s">
        <v>99</v>
      </c>
      <c r="G221" s="16" t="s">
        <v>89</v>
      </c>
      <c r="R221" s="16" t="s">
        <v>40</v>
      </c>
      <c r="S221" s="16" t="s">
        <v>40</v>
      </c>
      <c r="T221" s="17" t="s">
        <v>90</v>
      </c>
      <c r="U221" s="16" t="s">
        <v>712</v>
      </c>
      <c r="V221" s="16" t="s">
        <v>712</v>
      </c>
      <c r="W221" s="17" t="s">
        <v>713</v>
      </c>
      <c r="X221" s="16">
        <f t="shared" si="1"/>
        <v>7</v>
      </c>
      <c r="Y221" s="16" t="s">
        <v>339</v>
      </c>
      <c r="AA221" s="16" t="s">
        <v>276</v>
      </c>
      <c r="AB221" s="16" t="s">
        <v>574</v>
      </c>
      <c r="AC221" s="16" t="s">
        <v>722</v>
      </c>
      <c r="AF221" s="16">
        <f>COUNTIF($AE$2:$AE$250,AE221)</f>
        <v>0</v>
      </c>
      <c r="AH221" s="17"/>
    </row>
    <row r="222" spans="1:43" s="16" customFormat="1" ht="24" customHeight="1" x14ac:dyDescent="0.25">
      <c r="A222" s="16" t="s">
        <v>91</v>
      </c>
      <c r="B222" s="16" t="s">
        <v>91</v>
      </c>
      <c r="C222" s="17" t="s">
        <v>156</v>
      </c>
      <c r="D222" s="16" t="s">
        <v>40</v>
      </c>
      <c r="E222" s="16" t="s">
        <v>40</v>
      </c>
      <c r="F222" s="17" t="s">
        <v>99</v>
      </c>
      <c r="G222" s="16" t="s">
        <v>89</v>
      </c>
      <c r="R222" s="16" t="s">
        <v>40</v>
      </c>
      <c r="S222" s="16" t="s">
        <v>40</v>
      </c>
      <c r="T222" s="17" t="s">
        <v>90</v>
      </c>
      <c r="U222" s="16" t="s">
        <v>714</v>
      </c>
      <c r="V222" s="16" t="s">
        <v>714</v>
      </c>
      <c r="W222" s="17"/>
      <c r="X222" s="16">
        <f t="shared" si="1"/>
        <v>8</v>
      </c>
      <c r="Y222" s="16" t="s">
        <v>230</v>
      </c>
      <c r="AC222" s="16" t="s">
        <v>722</v>
      </c>
      <c r="AE222" s="16" t="s">
        <v>714</v>
      </c>
      <c r="AF222" s="16">
        <f>COUNTIF($AE$2:$AE$250,AE222)</f>
        <v>1</v>
      </c>
      <c r="AG222" s="16" t="s">
        <v>714</v>
      </c>
      <c r="AH222" s="17"/>
      <c r="AI222" s="16" t="s">
        <v>158</v>
      </c>
      <c r="AJ222" s="16" t="s">
        <v>91</v>
      </c>
      <c r="AK222" s="16" t="s">
        <v>40</v>
      </c>
      <c r="AL222" s="16" t="s">
        <v>714</v>
      </c>
      <c r="AM222" s="16" t="s">
        <v>70</v>
      </c>
      <c r="AN222" s="16" t="s">
        <v>91</v>
      </c>
      <c r="AO222" s="16" t="s">
        <v>697</v>
      </c>
      <c r="AP222" s="16" t="s">
        <v>661</v>
      </c>
      <c r="AQ222" s="16" t="s">
        <v>70</v>
      </c>
    </row>
    <row r="223" spans="1:43" s="16" customFormat="1" ht="24" customHeight="1" x14ac:dyDescent="0.25">
      <c r="A223" s="16" t="s">
        <v>91</v>
      </c>
      <c r="B223" s="16" t="s">
        <v>91</v>
      </c>
      <c r="C223" s="17" t="s">
        <v>156</v>
      </c>
      <c r="D223" s="16" t="s">
        <v>40</v>
      </c>
      <c r="E223" s="16" t="s">
        <v>40</v>
      </c>
      <c r="F223" s="17" t="s">
        <v>99</v>
      </c>
      <c r="G223" s="16" t="s">
        <v>89</v>
      </c>
      <c r="R223" s="16" t="s">
        <v>40</v>
      </c>
      <c r="S223" s="16" t="s">
        <v>40</v>
      </c>
      <c r="T223" s="17" t="s">
        <v>90</v>
      </c>
      <c r="U223" s="16" t="s">
        <v>715</v>
      </c>
      <c r="V223" s="16" t="s">
        <v>715</v>
      </c>
      <c r="W223" s="17"/>
      <c r="X223" s="16">
        <f t="shared" si="1"/>
        <v>9</v>
      </c>
      <c r="Y223" s="16" t="s">
        <v>230</v>
      </c>
      <c r="AC223" s="16" t="s">
        <v>722</v>
      </c>
      <c r="AE223" s="16" t="s">
        <v>715</v>
      </c>
      <c r="AF223" s="16">
        <f>COUNTIF($AE$2:$AE$250,AE223)</f>
        <v>1</v>
      </c>
      <c r="AG223" s="16" t="s">
        <v>715</v>
      </c>
      <c r="AH223" s="17"/>
      <c r="AI223" s="16" t="s">
        <v>158</v>
      </c>
      <c r="AJ223" s="16" t="s">
        <v>91</v>
      </c>
      <c r="AK223" s="16" t="s">
        <v>40</v>
      </c>
      <c r="AL223" s="16" t="s">
        <v>715</v>
      </c>
      <c r="AM223" s="16" t="s">
        <v>70</v>
      </c>
      <c r="AN223" s="16" t="s">
        <v>91</v>
      </c>
      <c r="AO223" s="16" t="s">
        <v>658</v>
      </c>
      <c r="AP223" s="16" t="s">
        <v>657</v>
      </c>
      <c r="AQ223" s="16" t="s">
        <v>70</v>
      </c>
    </row>
    <row r="224" spans="1:43" s="16" customFormat="1" ht="24" customHeight="1" x14ac:dyDescent="0.25">
      <c r="A224" s="16" t="s">
        <v>91</v>
      </c>
      <c r="B224" s="16" t="s">
        <v>91</v>
      </c>
      <c r="C224" s="17" t="s">
        <v>156</v>
      </c>
      <c r="D224" s="16" t="s">
        <v>40</v>
      </c>
      <c r="E224" s="16" t="s">
        <v>40</v>
      </c>
      <c r="F224" s="17" t="s">
        <v>99</v>
      </c>
      <c r="G224" s="16" t="s">
        <v>89</v>
      </c>
      <c r="R224" s="16" t="s">
        <v>40</v>
      </c>
      <c r="S224" s="16" t="s">
        <v>40</v>
      </c>
      <c r="T224" s="17" t="s">
        <v>90</v>
      </c>
      <c r="U224" s="16" t="s">
        <v>716</v>
      </c>
      <c r="V224" s="16" t="s">
        <v>716</v>
      </c>
      <c r="W224" s="17"/>
      <c r="X224" s="16">
        <f t="shared" si="1"/>
        <v>10</v>
      </c>
      <c r="Y224" s="16" t="s">
        <v>230</v>
      </c>
      <c r="AC224" s="16" t="s">
        <v>722</v>
      </c>
      <c r="AE224" s="16" t="s">
        <v>716</v>
      </c>
      <c r="AF224" s="16">
        <f>COUNTIF($AE$2:$AE$250,AE224)</f>
        <v>1</v>
      </c>
      <c r="AG224" s="16" t="s">
        <v>716</v>
      </c>
      <c r="AH224" s="17"/>
      <c r="AI224" s="16" t="s">
        <v>158</v>
      </c>
      <c r="AJ224" s="16" t="s">
        <v>91</v>
      </c>
      <c r="AK224" s="16" t="s">
        <v>40</v>
      </c>
      <c r="AL224" s="16" t="s">
        <v>716</v>
      </c>
      <c r="AM224" s="16" t="s">
        <v>70</v>
      </c>
      <c r="AN224" s="16" t="s">
        <v>91</v>
      </c>
      <c r="AO224" s="16" t="s">
        <v>697</v>
      </c>
      <c r="AP224" s="16" t="s">
        <v>661</v>
      </c>
      <c r="AQ224" s="16" t="s">
        <v>70</v>
      </c>
    </row>
    <row r="225" spans="1:43" s="16" customFormat="1" ht="24" customHeight="1" x14ac:dyDescent="0.25">
      <c r="A225" s="16" t="s">
        <v>91</v>
      </c>
      <c r="B225" s="16" t="s">
        <v>91</v>
      </c>
      <c r="C225" s="17" t="s">
        <v>156</v>
      </c>
      <c r="D225" s="16" t="s">
        <v>40</v>
      </c>
      <c r="E225" s="16" t="s">
        <v>40</v>
      </c>
      <c r="F225" s="17" t="s">
        <v>99</v>
      </c>
      <c r="G225" s="16" t="s">
        <v>89</v>
      </c>
      <c r="R225" s="16" t="s">
        <v>40</v>
      </c>
      <c r="S225" s="16" t="s">
        <v>40</v>
      </c>
      <c r="T225" s="17" t="s">
        <v>90</v>
      </c>
      <c r="U225" s="16" t="s">
        <v>717</v>
      </c>
      <c r="V225" s="16" t="s">
        <v>717</v>
      </c>
      <c r="W225" s="17"/>
      <c r="X225" s="16">
        <f t="shared" si="1"/>
        <v>11</v>
      </c>
      <c r="Y225" s="16" t="s">
        <v>230</v>
      </c>
      <c r="AC225" s="16" t="s">
        <v>722</v>
      </c>
      <c r="AE225" s="16" t="s">
        <v>717</v>
      </c>
      <c r="AF225" s="16">
        <f>COUNTIF($AE$2:$AE$250,AE225)</f>
        <v>1</v>
      </c>
      <c r="AG225" s="16" t="s">
        <v>717</v>
      </c>
      <c r="AH225" s="17"/>
      <c r="AI225" s="16" t="s">
        <v>158</v>
      </c>
      <c r="AJ225" s="16" t="s">
        <v>91</v>
      </c>
      <c r="AK225" s="16" t="s">
        <v>40</v>
      </c>
      <c r="AL225" s="16" t="s">
        <v>717</v>
      </c>
      <c r="AM225" s="16" t="s">
        <v>70</v>
      </c>
      <c r="AN225" s="16" t="s">
        <v>91</v>
      </c>
      <c r="AO225" s="16" t="s">
        <v>658</v>
      </c>
      <c r="AP225" s="16" t="s">
        <v>657</v>
      </c>
      <c r="AQ225" s="16" t="s">
        <v>70</v>
      </c>
    </row>
    <row r="226" spans="1:43" s="16" customFormat="1" ht="24" customHeight="1" x14ac:dyDescent="0.25">
      <c r="A226" s="16" t="s">
        <v>91</v>
      </c>
      <c r="B226" s="16" t="s">
        <v>91</v>
      </c>
      <c r="C226" s="17" t="s">
        <v>156</v>
      </c>
      <c r="D226" s="16" t="s">
        <v>40</v>
      </c>
      <c r="E226" s="16" t="s">
        <v>40</v>
      </c>
      <c r="F226" s="17" t="s">
        <v>99</v>
      </c>
      <c r="G226" s="16" t="s">
        <v>89</v>
      </c>
      <c r="R226" s="16" t="s">
        <v>40</v>
      </c>
      <c r="S226" s="16" t="s">
        <v>40</v>
      </c>
      <c r="T226" s="17" t="s">
        <v>90</v>
      </c>
      <c r="U226" s="16" t="s">
        <v>232</v>
      </c>
      <c r="V226" s="17" t="s">
        <v>232</v>
      </c>
      <c r="W226" s="17"/>
      <c r="X226" s="16">
        <f t="shared" si="1"/>
        <v>12</v>
      </c>
      <c r="Y226" s="16" t="s">
        <v>230</v>
      </c>
      <c r="AA226" s="16" t="s">
        <v>285</v>
      </c>
      <c r="AC226" s="16" t="s">
        <v>722</v>
      </c>
      <c r="AE226" s="16" t="s">
        <v>235</v>
      </c>
      <c r="AF226" s="16">
        <f>COUNTIF($AE$2:$AE$250,AE226)</f>
        <v>1</v>
      </c>
      <c r="AG226" s="16" t="s">
        <v>235</v>
      </c>
      <c r="AH226" s="17"/>
      <c r="AI226" s="16" t="s">
        <v>158</v>
      </c>
      <c r="AJ226" s="16" t="s">
        <v>91</v>
      </c>
      <c r="AK226" s="16" t="s">
        <v>40</v>
      </c>
      <c r="AL226" s="16" t="s">
        <v>232</v>
      </c>
      <c r="AM226" s="16" t="s">
        <v>70</v>
      </c>
      <c r="AN226" s="16" t="s">
        <v>91</v>
      </c>
      <c r="AO226" s="16" t="s">
        <v>53</v>
      </c>
      <c r="AP226" s="16" t="s">
        <v>238</v>
      </c>
      <c r="AQ226" s="16" t="s">
        <v>70</v>
      </c>
    </row>
    <row r="227" spans="1:43" s="16" customFormat="1" ht="24" customHeight="1" x14ac:dyDescent="0.25">
      <c r="A227" s="16" t="s">
        <v>91</v>
      </c>
      <c r="B227" s="16" t="s">
        <v>91</v>
      </c>
      <c r="C227" s="17" t="s">
        <v>156</v>
      </c>
      <c r="D227" s="16" t="s">
        <v>40</v>
      </c>
      <c r="E227" s="16" t="s">
        <v>40</v>
      </c>
      <c r="F227" s="17" t="s">
        <v>99</v>
      </c>
      <c r="G227" s="16" t="s">
        <v>89</v>
      </c>
      <c r="R227" s="16" t="s">
        <v>40</v>
      </c>
      <c r="S227" s="16" t="s">
        <v>40</v>
      </c>
      <c r="T227" s="17" t="s">
        <v>90</v>
      </c>
      <c r="U227" s="16" t="s">
        <v>233</v>
      </c>
      <c r="V227" s="17" t="s">
        <v>233</v>
      </c>
      <c r="W227" s="17"/>
      <c r="X227" s="16">
        <f t="shared" si="1"/>
        <v>13</v>
      </c>
      <c r="Y227" s="16" t="s">
        <v>230</v>
      </c>
      <c r="AA227" s="16" t="s">
        <v>285</v>
      </c>
      <c r="AC227" s="16" t="s">
        <v>722</v>
      </c>
      <c r="AE227" s="16" t="s">
        <v>236</v>
      </c>
      <c r="AF227" s="16">
        <f>COUNTIF($AE$2:$AE$250,AE227)</f>
        <v>1</v>
      </c>
      <c r="AG227" s="16" t="s">
        <v>236</v>
      </c>
      <c r="AH227" s="17"/>
      <c r="AI227" s="16" t="s">
        <v>158</v>
      </c>
      <c r="AJ227" s="16" t="s">
        <v>91</v>
      </c>
      <c r="AK227" s="16" t="s">
        <v>40</v>
      </c>
      <c r="AL227" s="16" t="s">
        <v>233</v>
      </c>
      <c r="AM227" s="16" t="s">
        <v>70</v>
      </c>
      <c r="AN227" s="16" t="s">
        <v>91</v>
      </c>
      <c r="AO227" s="16" t="s">
        <v>53</v>
      </c>
      <c r="AP227" s="16" t="s">
        <v>238</v>
      </c>
      <c r="AQ227" s="16" t="s">
        <v>70</v>
      </c>
    </row>
    <row r="228" spans="1:43" s="16" customFormat="1" ht="24" customHeight="1" x14ac:dyDescent="0.25">
      <c r="A228" s="16" t="s">
        <v>91</v>
      </c>
      <c r="B228" s="16" t="s">
        <v>91</v>
      </c>
      <c r="C228" s="17" t="s">
        <v>156</v>
      </c>
      <c r="D228" s="16" t="s">
        <v>40</v>
      </c>
      <c r="E228" s="16" t="s">
        <v>40</v>
      </c>
      <c r="F228" s="17" t="s">
        <v>99</v>
      </c>
      <c r="G228" s="16" t="s">
        <v>89</v>
      </c>
      <c r="R228" s="16" t="s">
        <v>40</v>
      </c>
      <c r="S228" s="16" t="s">
        <v>40</v>
      </c>
      <c r="T228" s="17" t="s">
        <v>90</v>
      </c>
      <c r="U228" s="16" t="s">
        <v>234</v>
      </c>
      <c r="V228" s="17" t="s">
        <v>234</v>
      </c>
      <c r="W228" s="17"/>
      <c r="X228" s="16">
        <f t="shared" si="1"/>
        <v>14</v>
      </c>
      <c r="Y228" s="16" t="s">
        <v>230</v>
      </c>
      <c r="AA228" s="16" t="s">
        <v>285</v>
      </c>
      <c r="AC228" s="16" t="s">
        <v>722</v>
      </c>
      <c r="AE228" s="16" t="s">
        <v>237</v>
      </c>
      <c r="AF228" s="16">
        <f>COUNTIF($AE$2:$AE$250,AE228)</f>
        <v>1</v>
      </c>
      <c r="AG228" s="16" t="s">
        <v>237</v>
      </c>
      <c r="AH228" s="17"/>
      <c r="AI228" s="16" t="s">
        <v>158</v>
      </c>
      <c r="AJ228" s="16" t="s">
        <v>91</v>
      </c>
      <c r="AK228" s="16" t="s">
        <v>40</v>
      </c>
      <c r="AL228" s="16" t="s">
        <v>234</v>
      </c>
      <c r="AM228" s="16" t="s">
        <v>70</v>
      </c>
      <c r="AN228" s="16" t="s">
        <v>91</v>
      </c>
      <c r="AO228" s="16" t="s">
        <v>53</v>
      </c>
      <c r="AP228" s="16" t="s">
        <v>238</v>
      </c>
      <c r="AQ228" s="16" t="s">
        <v>70</v>
      </c>
    </row>
    <row r="229" spans="1:43" s="16" customFormat="1" ht="24" customHeight="1" x14ac:dyDescent="0.25">
      <c r="A229" s="16" t="s">
        <v>91</v>
      </c>
      <c r="B229" s="16" t="s">
        <v>91</v>
      </c>
      <c r="C229" s="17" t="s">
        <v>156</v>
      </c>
      <c r="D229" s="16" t="s">
        <v>40</v>
      </c>
      <c r="E229" s="16" t="s">
        <v>40</v>
      </c>
      <c r="F229" s="17" t="s">
        <v>99</v>
      </c>
      <c r="G229" s="16" t="s">
        <v>89</v>
      </c>
      <c r="R229" s="16" t="s">
        <v>96</v>
      </c>
      <c r="S229" s="16" t="s">
        <v>96</v>
      </c>
      <c r="T229" s="17" t="s">
        <v>95</v>
      </c>
      <c r="U229" s="16" t="s">
        <v>646</v>
      </c>
      <c r="V229" s="16" t="s">
        <v>646</v>
      </c>
      <c r="W229" s="17"/>
      <c r="X229" s="16">
        <v>0</v>
      </c>
      <c r="Y229" s="16" t="s">
        <v>230</v>
      </c>
      <c r="AC229" s="16" t="s">
        <v>722</v>
      </c>
      <c r="AD229" s="16" t="s">
        <v>114</v>
      </c>
      <c r="AF229" s="16">
        <f>COUNTIF($AE$2:$AE$250,AE229)</f>
        <v>0</v>
      </c>
      <c r="AH229" s="17"/>
    </row>
    <row r="230" spans="1:43" s="16" customFormat="1" ht="24" customHeight="1" x14ac:dyDescent="0.25">
      <c r="A230" s="16" t="s">
        <v>91</v>
      </c>
      <c r="B230" s="16" t="s">
        <v>91</v>
      </c>
      <c r="C230" s="17" t="s">
        <v>156</v>
      </c>
      <c r="D230" s="16" t="s">
        <v>40</v>
      </c>
      <c r="E230" s="16" t="s">
        <v>40</v>
      </c>
      <c r="F230" s="17" t="s">
        <v>99</v>
      </c>
      <c r="G230" s="16" t="s">
        <v>89</v>
      </c>
      <c r="R230" s="16" t="s">
        <v>96</v>
      </c>
      <c r="S230" s="16" t="s">
        <v>96</v>
      </c>
      <c r="T230" s="17" t="s">
        <v>95</v>
      </c>
      <c r="U230" s="16" t="s">
        <v>650</v>
      </c>
      <c r="V230" s="16" t="s">
        <v>650</v>
      </c>
      <c r="W230" s="17" t="s">
        <v>651</v>
      </c>
      <c r="X230" s="16">
        <v>1</v>
      </c>
      <c r="Y230" s="16" t="s">
        <v>583</v>
      </c>
      <c r="AC230" s="16" t="s">
        <v>722</v>
      </c>
      <c r="AF230" s="16">
        <f>COUNTIF($AE$2:$AE$250,AE230)</f>
        <v>0</v>
      </c>
      <c r="AH230" s="17"/>
    </row>
    <row r="231" spans="1:43" s="16" customFormat="1" ht="24" customHeight="1" x14ac:dyDescent="0.25">
      <c r="A231" s="16" t="s">
        <v>91</v>
      </c>
      <c r="B231" s="16" t="s">
        <v>91</v>
      </c>
      <c r="C231" s="17" t="s">
        <v>156</v>
      </c>
      <c r="D231" s="16" t="s">
        <v>40</v>
      </c>
      <c r="E231" s="16" t="s">
        <v>40</v>
      </c>
      <c r="F231" s="17" t="s">
        <v>99</v>
      </c>
      <c r="G231" s="16" t="s">
        <v>89</v>
      </c>
      <c r="R231" s="16" t="s">
        <v>96</v>
      </c>
      <c r="S231" s="16" t="s">
        <v>96</v>
      </c>
      <c r="T231" s="17" t="s">
        <v>95</v>
      </c>
      <c r="U231" s="16" t="s">
        <v>649</v>
      </c>
      <c r="V231" s="16" t="s">
        <v>649</v>
      </c>
      <c r="W231" s="17" t="s">
        <v>647</v>
      </c>
      <c r="X231" s="16">
        <v>2</v>
      </c>
      <c r="Y231" s="16" t="s">
        <v>583</v>
      </c>
      <c r="AC231" s="16" t="s">
        <v>722</v>
      </c>
      <c r="AF231" s="16">
        <f>COUNTIF($AE$2:$AE$250,AE231)</f>
        <v>0</v>
      </c>
      <c r="AH231" s="17"/>
    </row>
    <row r="232" spans="1:43" s="16" customFormat="1" ht="24" customHeight="1" x14ac:dyDescent="0.25">
      <c r="A232" s="16" t="s">
        <v>91</v>
      </c>
      <c r="B232" s="16" t="s">
        <v>91</v>
      </c>
      <c r="C232" s="17" t="s">
        <v>156</v>
      </c>
      <c r="D232" s="16" t="s">
        <v>40</v>
      </c>
      <c r="E232" s="16" t="s">
        <v>40</v>
      </c>
      <c r="F232" s="17" t="s">
        <v>99</v>
      </c>
      <c r="G232" s="16" t="s">
        <v>89</v>
      </c>
      <c r="R232" s="16" t="s">
        <v>96</v>
      </c>
      <c r="S232" s="16" t="s">
        <v>96</v>
      </c>
      <c r="T232" s="17" t="s">
        <v>95</v>
      </c>
      <c r="U232" s="16" t="s">
        <v>112</v>
      </c>
      <c r="V232" s="16" t="s">
        <v>112</v>
      </c>
      <c r="W232" s="17" t="s">
        <v>648</v>
      </c>
      <c r="X232" s="16">
        <v>3</v>
      </c>
      <c r="Y232" s="16" t="s">
        <v>230</v>
      </c>
      <c r="AC232" s="16" t="s">
        <v>722</v>
      </c>
      <c r="AE232" s="16" t="s">
        <v>652</v>
      </c>
      <c r="AF232" s="16">
        <f>COUNTIF($AE$2:$AE$250,AE232)</f>
        <v>1</v>
      </c>
      <c r="AG232" s="16" t="s">
        <v>652</v>
      </c>
      <c r="AH232" s="17"/>
      <c r="AI232" s="16" t="s">
        <v>158</v>
      </c>
      <c r="AJ232" s="16" t="s">
        <v>91</v>
      </c>
      <c r="AK232" s="16" t="s">
        <v>96</v>
      </c>
      <c r="AL232" s="16" t="s">
        <v>112</v>
      </c>
      <c r="AM232" s="16" t="s">
        <v>69</v>
      </c>
      <c r="AN232" s="16" t="s">
        <v>91</v>
      </c>
      <c r="AO232" s="16" t="s">
        <v>40</v>
      </c>
      <c r="AP232" s="16" t="s">
        <v>112</v>
      </c>
      <c r="AQ232" s="16" t="s">
        <v>70</v>
      </c>
    </row>
    <row r="233" spans="1:43" ht="24" customHeight="1" x14ac:dyDescent="0.25">
      <c r="A233" s="16" t="s">
        <v>91</v>
      </c>
      <c r="B233" s="16" t="s">
        <v>91</v>
      </c>
      <c r="C233" s="17" t="s">
        <v>156</v>
      </c>
      <c r="D233" s="16" t="s">
        <v>40</v>
      </c>
      <c r="E233" s="16" t="s">
        <v>40</v>
      </c>
      <c r="F233" s="17" t="s">
        <v>99</v>
      </c>
      <c r="G233" s="16" t="s">
        <v>89</v>
      </c>
      <c r="R233" s="8" t="s">
        <v>639</v>
      </c>
      <c r="S233" s="8" t="s">
        <v>639</v>
      </c>
      <c r="T233" s="9" t="s">
        <v>641</v>
      </c>
      <c r="U233" s="8" t="s">
        <v>640</v>
      </c>
      <c r="V233" s="8" t="s">
        <v>640</v>
      </c>
      <c r="W233" s="9" t="s">
        <v>642</v>
      </c>
      <c r="X233" s="8">
        <v>0</v>
      </c>
      <c r="Y233" s="8" t="s">
        <v>230</v>
      </c>
      <c r="AC233" s="16" t="s">
        <v>722</v>
      </c>
      <c r="AD233" s="8" t="s">
        <v>114</v>
      </c>
      <c r="AF233" s="16">
        <f>COUNTIF($AE$2:$AE$250,AE233)</f>
        <v>0</v>
      </c>
    </row>
    <row r="234" spans="1:43" ht="24" customHeight="1" x14ac:dyDescent="0.25">
      <c r="A234" s="16" t="s">
        <v>91</v>
      </c>
      <c r="B234" s="16" t="s">
        <v>91</v>
      </c>
      <c r="C234" s="17" t="s">
        <v>156</v>
      </c>
      <c r="D234" s="16" t="s">
        <v>40</v>
      </c>
      <c r="E234" s="16" t="s">
        <v>40</v>
      </c>
      <c r="F234" s="17" t="s">
        <v>99</v>
      </c>
      <c r="G234" s="16" t="s">
        <v>89</v>
      </c>
      <c r="R234" s="8" t="s">
        <v>639</v>
      </c>
      <c r="S234" s="8" t="s">
        <v>639</v>
      </c>
      <c r="T234" s="9" t="s">
        <v>641</v>
      </c>
      <c r="U234" s="16" t="s">
        <v>124</v>
      </c>
      <c r="V234" s="16" t="s">
        <v>124</v>
      </c>
      <c r="W234" s="9" t="s">
        <v>643</v>
      </c>
      <c r="X234" s="8">
        <v>1</v>
      </c>
      <c r="Y234" s="8" t="s">
        <v>230</v>
      </c>
      <c r="AC234" s="16" t="s">
        <v>722</v>
      </c>
      <c r="AE234" s="8" t="s">
        <v>645</v>
      </c>
      <c r="AF234" s="16">
        <f>COUNTIF($AE$2:$AE$250,AE234)</f>
        <v>1</v>
      </c>
      <c r="AG234" s="8" t="s">
        <v>645</v>
      </c>
      <c r="AI234" s="16" t="s">
        <v>158</v>
      </c>
      <c r="AJ234" s="16" t="s">
        <v>91</v>
      </c>
      <c r="AK234" s="8" t="s">
        <v>639</v>
      </c>
      <c r="AL234" s="16" t="s">
        <v>124</v>
      </c>
      <c r="AM234" s="8" t="s">
        <v>69</v>
      </c>
      <c r="AN234" s="16" t="s">
        <v>91</v>
      </c>
      <c r="AO234" s="16" t="s">
        <v>122</v>
      </c>
      <c r="AP234" s="16" t="s">
        <v>124</v>
      </c>
      <c r="AQ234" s="8" t="s">
        <v>70</v>
      </c>
    </row>
    <row r="235" spans="1:43" ht="24" customHeight="1" x14ac:dyDescent="0.25">
      <c r="A235" s="16" t="s">
        <v>91</v>
      </c>
      <c r="B235" s="16" t="s">
        <v>91</v>
      </c>
      <c r="C235" s="17" t="s">
        <v>156</v>
      </c>
      <c r="D235" s="16" t="s">
        <v>40</v>
      </c>
      <c r="E235" s="16" t="s">
        <v>40</v>
      </c>
      <c r="F235" s="17" t="s">
        <v>99</v>
      </c>
      <c r="G235" s="16" t="s">
        <v>89</v>
      </c>
      <c r="R235" s="8" t="s">
        <v>639</v>
      </c>
      <c r="S235" s="8" t="s">
        <v>639</v>
      </c>
      <c r="T235" s="9" t="s">
        <v>641</v>
      </c>
      <c r="U235" s="16" t="s">
        <v>112</v>
      </c>
      <c r="V235" s="16" t="s">
        <v>112</v>
      </c>
      <c r="W235" s="9" t="s">
        <v>644</v>
      </c>
      <c r="X235" s="8">
        <v>2</v>
      </c>
      <c r="Y235" s="8" t="s">
        <v>230</v>
      </c>
      <c r="AC235" s="16" t="s">
        <v>722</v>
      </c>
      <c r="AE235" s="8" t="s">
        <v>293</v>
      </c>
      <c r="AF235" s="16">
        <f>COUNTIF($AE$2:$AE$250,AE235)</f>
        <v>1</v>
      </c>
      <c r="AG235" s="8" t="s">
        <v>293</v>
      </c>
      <c r="AI235" s="16" t="s">
        <v>158</v>
      </c>
      <c r="AJ235" s="16" t="s">
        <v>91</v>
      </c>
      <c r="AK235" s="8" t="s">
        <v>639</v>
      </c>
      <c r="AL235" s="16" t="s">
        <v>112</v>
      </c>
      <c r="AM235" s="8" t="s">
        <v>69</v>
      </c>
      <c r="AN235" s="16" t="s">
        <v>91</v>
      </c>
      <c r="AO235" s="8" t="s">
        <v>40</v>
      </c>
      <c r="AP235" s="16" t="s">
        <v>112</v>
      </c>
      <c r="AQ235" s="8" t="s">
        <v>70</v>
      </c>
    </row>
    <row r="236" spans="1:43" ht="24" customHeight="1" x14ac:dyDescent="0.25">
      <c r="A236" s="16" t="s">
        <v>91</v>
      </c>
      <c r="B236" s="16" t="s">
        <v>91</v>
      </c>
      <c r="C236" s="17" t="s">
        <v>156</v>
      </c>
      <c r="D236" s="16" t="s">
        <v>58</v>
      </c>
      <c r="E236" s="16" t="s">
        <v>58</v>
      </c>
      <c r="F236" s="17" t="s">
        <v>105</v>
      </c>
      <c r="G236" s="16" t="s">
        <v>89</v>
      </c>
      <c r="R236" s="8" t="s">
        <v>703</v>
      </c>
      <c r="S236" s="8" t="s">
        <v>703</v>
      </c>
      <c r="U236" s="16" t="s">
        <v>705</v>
      </c>
      <c r="V236" s="16" t="s">
        <v>705</v>
      </c>
      <c r="X236" s="8">
        <v>0</v>
      </c>
      <c r="Y236" s="8" t="s">
        <v>230</v>
      </c>
      <c r="AC236" s="16" t="s">
        <v>722</v>
      </c>
      <c r="AD236" s="8" t="s">
        <v>114</v>
      </c>
      <c r="AF236" s="16">
        <f>COUNTIF($AE$2:$AE$250,AE236)</f>
        <v>0</v>
      </c>
      <c r="AI236" s="16"/>
      <c r="AJ236" s="16"/>
      <c r="AL236" s="16"/>
      <c r="AN236" s="16"/>
      <c r="AP236" s="16"/>
    </row>
    <row r="237" spans="1:43" ht="24" customHeight="1" x14ac:dyDescent="0.25">
      <c r="A237" s="16" t="s">
        <v>91</v>
      </c>
      <c r="B237" s="16" t="s">
        <v>91</v>
      </c>
      <c r="C237" s="17" t="s">
        <v>156</v>
      </c>
      <c r="D237" s="16" t="s">
        <v>58</v>
      </c>
      <c r="E237" s="16" t="s">
        <v>58</v>
      </c>
      <c r="F237" s="17" t="s">
        <v>105</v>
      </c>
      <c r="G237" s="16" t="s">
        <v>89</v>
      </c>
      <c r="R237" s="8" t="s">
        <v>703</v>
      </c>
      <c r="S237" s="8" t="s">
        <v>703</v>
      </c>
      <c r="U237" s="16" t="s">
        <v>661</v>
      </c>
      <c r="V237" s="16" t="s">
        <v>661</v>
      </c>
      <c r="X237" s="8">
        <v>1</v>
      </c>
      <c r="Y237" s="8" t="s">
        <v>230</v>
      </c>
      <c r="AC237" s="16" t="s">
        <v>722</v>
      </c>
      <c r="AD237" s="16"/>
      <c r="AE237" s="16" t="s">
        <v>701</v>
      </c>
      <c r="AF237" s="16">
        <f>COUNTIF($AE$2:$AE$250,AE237)</f>
        <v>1</v>
      </c>
      <c r="AG237" s="16" t="s">
        <v>701</v>
      </c>
      <c r="AH237" s="17"/>
      <c r="AI237" s="16" t="s">
        <v>158</v>
      </c>
      <c r="AJ237" s="16" t="s">
        <v>91</v>
      </c>
      <c r="AK237" s="8" t="s">
        <v>703</v>
      </c>
      <c r="AL237" s="16" t="s">
        <v>661</v>
      </c>
      <c r="AM237" s="16" t="s">
        <v>69</v>
      </c>
      <c r="AN237" s="16" t="s">
        <v>91</v>
      </c>
      <c r="AO237" s="16" t="s">
        <v>697</v>
      </c>
      <c r="AP237" s="16" t="s">
        <v>661</v>
      </c>
      <c r="AQ237" s="16" t="s">
        <v>70</v>
      </c>
    </row>
    <row r="238" spans="1:43" ht="24" customHeight="1" x14ac:dyDescent="0.25">
      <c r="A238" s="16" t="s">
        <v>91</v>
      </c>
      <c r="B238" s="16" t="s">
        <v>91</v>
      </c>
      <c r="C238" s="17" t="s">
        <v>156</v>
      </c>
      <c r="D238" s="16" t="s">
        <v>58</v>
      </c>
      <c r="E238" s="16" t="s">
        <v>58</v>
      </c>
      <c r="F238" s="17" t="s">
        <v>105</v>
      </c>
      <c r="G238" s="16" t="s">
        <v>89</v>
      </c>
      <c r="R238" s="8" t="s">
        <v>703</v>
      </c>
      <c r="S238" s="8" t="s">
        <v>703</v>
      </c>
      <c r="U238" s="16" t="s">
        <v>690</v>
      </c>
      <c r="V238" s="16" t="s">
        <v>690</v>
      </c>
      <c r="X238" s="8">
        <v>2</v>
      </c>
      <c r="Y238" s="8" t="s">
        <v>230</v>
      </c>
      <c r="AC238" s="16" t="s">
        <v>722</v>
      </c>
      <c r="AE238" s="16" t="s">
        <v>702</v>
      </c>
      <c r="AF238" s="16">
        <f>COUNTIF($AE$2:$AE$250,AE238)</f>
        <v>1</v>
      </c>
      <c r="AG238" s="16" t="s">
        <v>702</v>
      </c>
      <c r="AH238" s="17"/>
      <c r="AI238" s="16" t="s">
        <v>158</v>
      </c>
      <c r="AJ238" s="16" t="s">
        <v>91</v>
      </c>
      <c r="AK238" s="8" t="s">
        <v>703</v>
      </c>
      <c r="AL238" s="16" t="s">
        <v>690</v>
      </c>
      <c r="AM238" s="16" t="s">
        <v>69</v>
      </c>
      <c r="AN238" s="16" t="s">
        <v>91</v>
      </c>
      <c r="AO238" s="16" t="s">
        <v>58</v>
      </c>
      <c r="AP238" s="16" t="s">
        <v>690</v>
      </c>
      <c r="AQ238" s="16" t="s">
        <v>70</v>
      </c>
    </row>
    <row r="239" spans="1:43" ht="24" customHeight="1" x14ac:dyDescent="0.25">
      <c r="AF239" s="16">
        <f>COUNTIF($AE$2:$AE$250,AE239)</f>
        <v>0</v>
      </c>
    </row>
    <row r="240" spans="1:43" ht="24" customHeight="1" x14ac:dyDescent="0.25">
      <c r="AF240" s="16">
        <f>COUNTIF($AE$2:$AE$250,AE240)</f>
        <v>0</v>
      </c>
    </row>
    <row r="241" spans="32:32" ht="24" customHeight="1" x14ac:dyDescent="0.25">
      <c r="AF241" s="16">
        <f>COUNTIF($AE$2:$AE$250,AE241)</f>
        <v>0</v>
      </c>
    </row>
    <row r="242" spans="32:32" ht="24" customHeight="1" x14ac:dyDescent="0.25">
      <c r="AF242" s="16">
        <f>COUNTIF($AE$2:$AE$250,AE242)</f>
        <v>0</v>
      </c>
    </row>
    <row r="243" spans="32:32" ht="24" customHeight="1" x14ac:dyDescent="0.25">
      <c r="AF243" s="16">
        <f>COUNTIF($AE$2:$AE$250,AE243)</f>
        <v>0</v>
      </c>
    </row>
    <row r="244" spans="32:32" ht="24" customHeight="1" x14ac:dyDescent="0.25">
      <c r="AF244" s="16">
        <f>COUNTIF($AE$2:$AE$250,AE244)</f>
        <v>0</v>
      </c>
    </row>
    <row r="245" spans="32:32" ht="24" customHeight="1" x14ac:dyDescent="0.25">
      <c r="AF245" s="16">
        <f>COUNTIF($AE$2:$AE$250,AE245)</f>
        <v>0</v>
      </c>
    </row>
    <row r="246" spans="32:32" ht="24" customHeight="1" x14ac:dyDescent="0.25">
      <c r="AF246" s="16">
        <f>COUNTIF($AE$2:$AE$250,AE246)</f>
        <v>0</v>
      </c>
    </row>
    <row r="247" spans="32:32" ht="24" customHeight="1" x14ac:dyDescent="0.25">
      <c r="AF247" s="16">
        <f>COUNTIF($AE$2:$AE$250,AE247)</f>
        <v>0</v>
      </c>
    </row>
    <row r="248" spans="32:32" ht="24" customHeight="1" x14ac:dyDescent="0.25">
      <c r="AF248" s="16">
        <f>COUNTIF($AE$2:$AE$250,AE248)</f>
        <v>0</v>
      </c>
    </row>
    <row r="249" spans="32:32" ht="24" customHeight="1" x14ac:dyDescent="0.25">
      <c r="AF249" s="16">
        <f>COUNTIF($AE$2:$AE$250,AE249)</f>
        <v>0</v>
      </c>
    </row>
    <row r="250" spans="32:32" ht="24" customHeight="1" x14ac:dyDescent="0.25">
      <c r="AF250" s="16">
        <f>COUNTIF($AE$2:$AE$250,AE250)</f>
        <v>0</v>
      </c>
    </row>
  </sheetData>
  <autoFilter ref="A1:AQ250" xr:uid="{00000000-0001-0000-0000-000000000000}"/>
  <phoneticPr fontId="3" type="noConversion"/>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A39C-4BE1-4AEE-98D4-AEB750AE2689}">
  <dimension ref="A1:B13"/>
  <sheetViews>
    <sheetView workbookViewId="0">
      <selection activeCell="A17" sqref="A17"/>
    </sheetView>
  </sheetViews>
  <sheetFormatPr defaultRowHeight="12.5" x14ac:dyDescent="0.25"/>
  <cols>
    <col min="1" max="1" width="19.26953125" customWidth="1"/>
    <col min="2" max="2" width="20.08984375" customWidth="1"/>
  </cols>
  <sheetData>
    <row r="1" spans="1:2" x14ac:dyDescent="0.25">
      <c r="A1" t="s">
        <v>720</v>
      </c>
    </row>
    <row r="2" spans="1:2" x14ac:dyDescent="0.25">
      <c r="A2" t="s">
        <v>158</v>
      </c>
    </row>
    <row r="5" spans="1:2" ht="13" x14ac:dyDescent="0.3">
      <c r="A5" s="35" t="s">
        <v>721</v>
      </c>
      <c r="B5" s="35" t="s">
        <v>88</v>
      </c>
    </row>
    <row r="6" spans="1:2" x14ac:dyDescent="0.25">
      <c r="A6" s="8" t="s">
        <v>230</v>
      </c>
      <c r="B6" s="8"/>
    </row>
    <row r="7" spans="1:2" x14ac:dyDescent="0.25">
      <c r="A7" s="8" t="s">
        <v>588</v>
      </c>
      <c r="B7" s="8"/>
    </row>
    <row r="8" spans="1:2" x14ac:dyDescent="0.25">
      <c r="A8" s="8" t="s">
        <v>583</v>
      </c>
      <c r="B8" s="8"/>
    </row>
    <row r="9" spans="1:2" x14ac:dyDescent="0.25">
      <c r="A9" s="8" t="s">
        <v>706</v>
      </c>
      <c r="B9" s="8"/>
    </row>
    <row r="10" spans="1:2" x14ac:dyDescent="0.25">
      <c r="A10" s="8" t="s">
        <v>586</v>
      </c>
      <c r="B10" s="8"/>
    </row>
    <row r="11" spans="1:2" x14ac:dyDescent="0.25">
      <c r="A11" s="8" t="s">
        <v>585</v>
      </c>
      <c r="B11" s="8"/>
    </row>
    <row r="12" spans="1:2" x14ac:dyDescent="0.25">
      <c r="A12" s="8" t="s">
        <v>548</v>
      </c>
      <c r="B12" s="8"/>
    </row>
    <row r="13" spans="1:2" x14ac:dyDescent="0.25">
      <c r="A13" s="8" t="s">
        <v>339</v>
      </c>
      <c r="B13"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zoomScaleNormal="100" workbookViewId="0">
      <selection activeCell="I11" sqref="I11"/>
    </sheetView>
  </sheetViews>
  <sheetFormatPr defaultColWidth="15.81640625" defaultRowHeight="12.5" x14ac:dyDescent="0.25"/>
  <cols>
    <col min="4" max="11" width="22.36328125" customWidth="1"/>
  </cols>
  <sheetData>
    <row r="1" spans="1:12" s="5" customFormat="1" ht="15.5" x14ac:dyDescent="0.35">
      <c r="A1" s="6" t="s">
        <v>23</v>
      </c>
      <c r="B1" s="1" t="s">
        <v>0</v>
      </c>
      <c r="C1" s="7" t="s">
        <v>73</v>
      </c>
      <c r="D1" s="1" t="s">
        <v>74</v>
      </c>
      <c r="E1" s="2" t="s">
        <v>75</v>
      </c>
      <c r="F1" s="3" t="s">
        <v>76</v>
      </c>
      <c r="G1" s="4" t="s">
        <v>77</v>
      </c>
      <c r="H1" s="1" t="s">
        <v>78</v>
      </c>
      <c r="I1" s="2" t="s">
        <v>79</v>
      </c>
      <c r="J1" s="3" t="s">
        <v>80</v>
      </c>
      <c r="K1" s="4" t="s">
        <v>81</v>
      </c>
      <c r="L1" s="7" t="s">
        <v>82</v>
      </c>
    </row>
    <row r="2" spans="1:12" x14ac:dyDescent="0.25">
      <c r="D2" t="s">
        <v>39</v>
      </c>
      <c r="H2" t="s">
        <v>91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zoomScaleNormal="100" workbookViewId="0">
      <selection activeCell="A2" sqref="A2"/>
    </sheetView>
  </sheetViews>
  <sheetFormatPr defaultColWidth="11.81640625" defaultRowHeight="12.5" x14ac:dyDescent="0.25"/>
  <cols>
    <col min="1" max="1" width="16.6328125" customWidth="1"/>
    <col min="2" max="2" width="20.453125" customWidth="1"/>
    <col min="3" max="3" width="29.453125" customWidth="1"/>
    <col min="4" max="4" width="18.36328125" customWidth="1"/>
    <col min="5" max="5" width="14" customWidth="1"/>
    <col min="6" max="6" width="15.81640625" customWidth="1"/>
    <col min="7" max="7" width="16.1796875" customWidth="1"/>
  </cols>
  <sheetData>
    <row r="1" spans="1:6" x14ac:dyDescent="0.25">
      <c r="A1" t="s">
        <v>83</v>
      </c>
      <c r="B1" t="s">
        <v>84</v>
      </c>
      <c r="C1" t="s">
        <v>85</v>
      </c>
      <c r="D1" t="s">
        <v>86</v>
      </c>
      <c r="E1" t="s">
        <v>87</v>
      </c>
      <c r="F1" t="s">
        <v>88</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243C-B2C2-4522-BED0-6847E492C679}">
  <dimension ref="A2:H30"/>
  <sheetViews>
    <sheetView topLeftCell="A7" zoomScale="130" zoomScaleNormal="130" workbookViewId="0">
      <selection activeCell="D22" sqref="D22"/>
    </sheetView>
  </sheetViews>
  <sheetFormatPr defaultRowHeight="12.5" x14ac:dyDescent="0.25"/>
  <cols>
    <col min="1" max="1" width="29" customWidth="1"/>
    <col min="2" max="2" width="34" bestFit="1" customWidth="1"/>
    <col min="3" max="3" width="26.7265625" bestFit="1" customWidth="1"/>
    <col min="4" max="4" width="62.7265625" bestFit="1" customWidth="1"/>
    <col min="5" max="5" width="4.26953125" customWidth="1"/>
    <col min="6" max="6" width="35.453125" customWidth="1"/>
    <col min="7" max="9" width="54" customWidth="1"/>
  </cols>
  <sheetData>
    <row r="2" spans="1:7" ht="13" x14ac:dyDescent="0.3">
      <c r="A2" s="11" t="s">
        <v>636</v>
      </c>
      <c r="B2" s="11" t="s">
        <v>637</v>
      </c>
      <c r="C2" s="11" t="s">
        <v>607</v>
      </c>
      <c r="D2" s="11" t="s">
        <v>66</v>
      </c>
      <c r="E2" s="11" t="s">
        <v>638</v>
      </c>
      <c r="F2" s="12"/>
      <c r="G2" s="12"/>
    </row>
    <row r="3" spans="1:7" x14ac:dyDescent="0.25">
      <c r="A3" t="s">
        <v>486</v>
      </c>
      <c r="E3" s="33"/>
      <c r="F3" t="s">
        <v>502</v>
      </c>
      <c r="G3" t="s">
        <v>488</v>
      </c>
    </row>
    <row r="4" spans="1:7" x14ac:dyDescent="0.25">
      <c r="A4" t="s">
        <v>487</v>
      </c>
      <c r="E4" s="33"/>
      <c r="F4" t="s">
        <v>502</v>
      </c>
      <c r="G4" t="s">
        <v>488</v>
      </c>
    </row>
    <row r="5" spans="1:7" ht="25" x14ac:dyDescent="0.25">
      <c r="A5" t="s">
        <v>151</v>
      </c>
      <c r="E5" s="33"/>
      <c r="F5" s="10" t="s">
        <v>504</v>
      </c>
      <c r="G5" t="s">
        <v>505</v>
      </c>
    </row>
    <row r="6" spans="1:7" ht="25" x14ac:dyDescent="0.25">
      <c r="A6" t="s">
        <v>145</v>
      </c>
      <c r="B6" t="s">
        <v>489</v>
      </c>
      <c r="C6" t="s">
        <v>145</v>
      </c>
      <c r="D6" t="s">
        <v>147</v>
      </c>
      <c r="E6" s="33" t="s">
        <v>616</v>
      </c>
      <c r="F6" s="10" t="s">
        <v>504</v>
      </c>
      <c r="G6" t="s">
        <v>505</v>
      </c>
    </row>
    <row r="7" spans="1:7" ht="25" x14ac:dyDescent="0.25">
      <c r="A7" t="s">
        <v>152</v>
      </c>
      <c r="C7" t="s">
        <v>152</v>
      </c>
      <c r="E7" s="33"/>
      <c r="F7" s="10" t="s">
        <v>504</v>
      </c>
      <c r="G7" t="s">
        <v>505</v>
      </c>
    </row>
    <row r="8" spans="1:7" ht="25" x14ac:dyDescent="0.25">
      <c r="A8" t="s">
        <v>146</v>
      </c>
      <c r="B8" t="s">
        <v>490</v>
      </c>
      <c r="C8" t="s">
        <v>146</v>
      </c>
      <c r="D8" t="s">
        <v>148</v>
      </c>
      <c r="E8" s="33" t="s">
        <v>617</v>
      </c>
      <c r="F8" s="10" t="s">
        <v>504</v>
      </c>
      <c r="G8" t="s">
        <v>505</v>
      </c>
    </row>
    <row r="9" spans="1:7" ht="25" x14ac:dyDescent="0.25">
      <c r="A9" t="s">
        <v>147</v>
      </c>
      <c r="B9" t="s">
        <v>508</v>
      </c>
      <c r="C9" t="s">
        <v>147</v>
      </c>
      <c r="D9" t="s">
        <v>624</v>
      </c>
      <c r="E9" s="33" t="s">
        <v>616</v>
      </c>
      <c r="F9" s="10" t="s">
        <v>504</v>
      </c>
      <c r="G9" t="s">
        <v>505</v>
      </c>
    </row>
    <row r="10" spans="1:7" ht="25" x14ac:dyDescent="0.25">
      <c r="A10" t="s">
        <v>148</v>
      </c>
      <c r="B10" t="s">
        <v>507</v>
      </c>
      <c r="C10" t="s">
        <v>148</v>
      </c>
      <c r="D10" t="s">
        <v>615</v>
      </c>
      <c r="E10" s="33" t="s">
        <v>617</v>
      </c>
      <c r="F10" s="10" t="s">
        <v>504</v>
      </c>
      <c r="G10" t="s">
        <v>505</v>
      </c>
    </row>
    <row r="11" spans="1:7" x14ac:dyDescent="0.25">
      <c r="A11" t="s">
        <v>491</v>
      </c>
      <c r="B11" t="s">
        <v>509</v>
      </c>
      <c r="C11" t="s">
        <v>491</v>
      </c>
      <c r="D11" t="s">
        <v>618</v>
      </c>
      <c r="E11" s="33" t="s">
        <v>616</v>
      </c>
      <c r="F11" t="s">
        <v>503</v>
      </c>
      <c r="G11" t="s">
        <v>506</v>
      </c>
    </row>
    <row r="12" spans="1:7" x14ac:dyDescent="0.25">
      <c r="A12" t="s">
        <v>492</v>
      </c>
      <c r="B12" t="s">
        <v>510</v>
      </c>
      <c r="C12" t="s">
        <v>492</v>
      </c>
      <c r="D12" t="s">
        <v>619</v>
      </c>
      <c r="E12" s="33" t="s">
        <v>616</v>
      </c>
      <c r="F12" t="s">
        <v>503</v>
      </c>
      <c r="G12" t="s">
        <v>506</v>
      </c>
    </row>
    <row r="13" spans="1:7" x14ac:dyDescent="0.25">
      <c r="A13" t="s">
        <v>493</v>
      </c>
      <c r="B13" t="s">
        <v>511</v>
      </c>
      <c r="C13" t="s">
        <v>493</v>
      </c>
      <c r="D13" t="s">
        <v>620</v>
      </c>
      <c r="E13" s="33" t="s">
        <v>616</v>
      </c>
      <c r="F13" t="s">
        <v>503</v>
      </c>
      <c r="G13" t="s">
        <v>506</v>
      </c>
    </row>
    <row r="14" spans="1:7" ht="25" x14ac:dyDescent="0.25">
      <c r="A14" t="s">
        <v>494</v>
      </c>
      <c r="B14" t="s">
        <v>512</v>
      </c>
      <c r="C14" t="s">
        <v>494</v>
      </c>
      <c r="D14" t="s">
        <v>621</v>
      </c>
      <c r="E14" s="33" t="s">
        <v>616</v>
      </c>
      <c r="F14" s="10" t="s">
        <v>504</v>
      </c>
      <c r="G14" t="s">
        <v>505</v>
      </c>
    </row>
    <row r="15" spans="1:7" ht="25" x14ac:dyDescent="0.25">
      <c r="A15" t="s">
        <v>495</v>
      </c>
      <c r="B15" t="s">
        <v>513</v>
      </c>
      <c r="C15" t="s">
        <v>495</v>
      </c>
      <c r="D15" t="s">
        <v>622</v>
      </c>
      <c r="E15" s="33" t="s">
        <v>616</v>
      </c>
      <c r="F15" s="10" t="s">
        <v>504</v>
      </c>
      <c r="G15" t="s">
        <v>505</v>
      </c>
    </row>
    <row r="16" spans="1:7" ht="25" x14ac:dyDescent="0.25">
      <c r="A16" t="s">
        <v>496</v>
      </c>
      <c r="B16" t="s">
        <v>514</v>
      </c>
      <c r="C16" t="s">
        <v>496</v>
      </c>
      <c r="D16" t="s">
        <v>148</v>
      </c>
      <c r="E16" s="33" t="s">
        <v>616</v>
      </c>
      <c r="F16" s="10" t="s">
        <v>504</v>
      </c>
      <c r="G16" t="s">
        <v>505</v>
      </c>
    </row>
    <row r="17" spans="1:8" ht="25" x14ac:dyDescent="0.25">
      <c r="A17" t="s">
        <v>497</v>
      </c>
      <c r="B17" t="s">
        <v>515</v>
      </c>
      <c r="C17" t="s">
        <v>145</v>
      </c>
      <c r="D17" t="s">
        <v>626</v>
      </c>
      <c r="E17" s="33"/>
      <c r="F17" s="10" t="s">
        <v>504</v>
      </c>
      <c r="G17" t="s">
        <v>505</v>
      </c>
    </row>
    <row r="18" spans="1:8" x14ac:dyDescent="0.25">
      <c r="A18" t="s">
        <v>498</v>
      </c>
      <c r="B18" t="s">
        <v>516</v>
      </c>
      <c r="C18" t="s">
        <v>498</v>
      </c>
      <c r="D18" t="s">
        <v>499</v>
      </c>
      <c r="E18" s="33"/>
      <c r="F18" t="s">
        <v>503</v>
      </c>
      <c r="G18" t="s">
        <v>501</v>
      </c>
      <c r="H18" t="s">
        <v>623</v>
      </c>
    </row>
    <row r="19" spans="1:8" x14ac:dyDescent="0.25">
      <c r="A19" t="s">
        <v>499</v>
      </c>
      <c r="B19" t="s">
        <v>517</v>
      </c>
      <c r="C19" t="s">
        <v>499</v>
      </c>
      <c r="D19" t="s">
        <v>625</v>
      </c>
      <c r="E19" s="33"/>
      <c r="F19" t="s">
        <v>503</v>
      </c>
      <c r="G19" t="s">
        <v>501</v>
      </c>
      <c r="H19" t="s">
        <v>623</v>
      </c>
    </row>
    <row r="20" spans="1:8" x14ac:dyDescent="0.25">
      <c r="A20" t="s">
        <v>500</v>
      </c>
      <c r="B20" t="s">
        <v>518</v>
      </c>
      <c r="C20" t="s">
        <v>500</v>
      </c>
      <c r="D20" t="s">
        <v>148</v>
      </c>
      <c r="E20" s="33"/>
      <c r="F20" t="s">
        <v>503</v>
      </c>
      <c r="G20" t="s">
        <v>501</v>
      </c>
      <c r="H20" t="s">
        <v>623</v>
      </c>
    </row>
    <row r="21" spans="1:8" x14ac:dyDescent="0.25">
      <c r="A21" t="s">
        <v>149</v>
      </c>
      <c r="E21" s="33"/>
      <c r="F21" t="s">
        <v>503</v>
      </c>
      <c r="G21" t="s">
        <v>506</v>
      </c>
    </row>
    <row r="22" spans="1:8" x14ac:dyDescent="0.25">
      <c r="A22" t="s">
        <v>150</v>
      </c>
      <c r="E22" s="33"/>
      <c r="F22" t="s">
        <v>503</v>
      </c>
      <c r="G22" t="s">
        <v>506</v>
      </c>
    </row>
    <row r="23" spans="1:8" x14ac:dyDescent="0.25">
      <c r="A23" t="s">
        <v>606</v>
      </c>
      <c r="E23" s="33"/>
    </row>
    <row r="24" spans="1:8" s="14" customFormat="1" ht="13" x14ac:dyDescent="0.3">
      <c r="A24" s="14" t="s">
        <v>608</v>
      </c>
      <c r="E24" s="34"/>
      <c r="G24" s="15" t="s">
        <v>418</v>
      </c>
    </row>
    <row r="25" spans="1:8" s="14" customFormat="1" ht="13" x14ac:dyDescent="0.3">
      <c r="A25" s="14" t="s">
        <v>609</v>
      </c>
      <c r="B25" s="14" t="s">
        <v>610</v>
      </c>
      <c r="C25" s="14" t="s">
        <v>609</v>
      </c>
      <c r="D25" s="14" t="s">
        <v>613</v>
      </c>
      <c r="E25" s="34"/>
      <c r="G25" s="15" t="s">
        <v>419</v>
      </c>
      <c r="H25" s="15" t="s">
        <v>420</v>
      </c>
    </row>
    <row r="26" spans="1:8" s="14" customFormat="1" ht="13" x14ac:dyDescent="0.3">
      <c r="A26" s="14" t="s">
        <v>611</v>
      </c>
      <c r="B26" s="14" t="s">
        <v>612</v>
      </c>
      <c r="C26" s="14" t="s">
        <v>611</v>
      </c>
      <c r="D26" s="14" t="s">
        <v>613</v>
      </c>
      <c r="E26" s="34"/>
      <c r="G26" s="15" t="s">
        <v>421</v>
      </c>
      <c r="H26" s="15" t="s">
        <v>422</v>
      </c>
    </row>
    <row r="27" spans="1:8" s="14" customFormat="1" ht="13" x14ac:dyDescent="0.3">
      <c r="A27" s="14" t="s">
        <v>613</v>
      </c>
      <c r="B27" s="14" t="s">
        <v>614</v>
      </c>
      <c r="C27" s="14" t="s">
        <v>613</v>
      </c>
      <c r="D27" s="14" t="s">
        <v>609</v>
      </c>
      <c r="E27" s="34"/>
      <c r="G27" s="15" t="s">
        <v>423</v>
      </c>
      <c r="H27" s="15" t="s">
        <v>424</v>
      </c>
    </row>
    <row r="28" spans="1:8" ht="13" x14ac:dyDescent="0.3">
      <c r="A28" s="13" t="s">
        <v>65</v>
      </c>
      <c r="E28" s="33"/>
    </row>
    <row r="29" spans="1:8" ht="13" x14ac:dyDescent="0.3">
      <c r="A29" s="13" t="s">
        <v>257</v>
      </c>
      <c r="E29" s="33"/>
    </row>
    <row r="30" spans="1:8" x14ac:dyDescent="0.25">
      <c r="E30" s="33"/>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615B8C99ADF549B2D42C71C853D2B2" ma:contentTypeVersion="14" ma:contentTypeDescription="Create a new document." ma:contentTypeScope="" ma:versionID="53cb544f992bb47a6c37fefa1d334edb">
  <xsd:schema xmlns:xsd="http://www.w3.org/2001/XMLSchema" xmlns:xs="http://www.w3.org/2001/XMLSchema" xmlns:p="http://schemas.microsoft.com/office/2006/metadata/properties" xmlns:ns2="75bb013c-a918-4405-902b-66b99abebcf1" xmlns:ns3="1e491a47-3780-4c40-a92e-7cdf62cc77f5" targetNamespace="http://schemas.microsoft.com/office/2006/metadata/properties" ma:root="true" ma:fieldsID="463ffa1ebe2691fb478830985fb41284" ns2:_="" ns3:_="">
    <xsd:import namespace="75bb013c-a918-4405-902b-66b99abebcf1"/>
    <xsd:import namespace="1e491a47-3780-4c40-a92e-7cdf62cc77f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bb013c-a918-4405-902b-66b99abebc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f0b2fa2-59f5-45f6-8de5-7357181cf6a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491a47-3780-4c40-a92e-7cdf62cc77f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83c6e36-fd5c-4e40-bc21-f18c6fe1d8c0}" ma:internalName="TaxCatchAll" ma:showField="CatchAllData" ma:web="1e491a47-3780-4c40-a92e-7cdf62cc77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e491a47-3780-4c40-a92e-7cdf62cc77f5" xsi:nil="true"/>
    <lcf76f155ced4ddcb4097134ff3c332f xmlns="75bb013c-a918-4405-902b-66b99abebcf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CD1C4C-C9DB-463E-A4B2-274CE14DB1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bb013c-a918-4405-902b-66b99abebcf1"/>
    <ds:schemaRef ds:uri="1e491a47-3780-4c40-a92e-7cdf62cc77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EA7A8B-B0C3-49F2-A92C-2CC358A70046}">
  <ds:schemaRefs>
    <ds:schemaRef ds:uri="http://schemas.microsoft.com/sharepoint/v3/contenttype/forms"/>
  </ds:schemaRefs>
</ds:datastoreItem>
</file>

<file path=customXml/itemProps3.xml><?xml version="1.0" encoding="utf-8"?>
<ds:datastoreItem xmlns:ds="http://schemas.openxmlformats.org/officeDocument/2006/customXml" ds:itemID="{5E93044D-FF99-4F3E-9BFE-19D50977A3E4}">
  <ds:schemaRefs>
    <ds:schemaRef ds:uri="http://schemas.microsoft.com/office/2006/metadata/properties"/>
    <ds:schemaRef ds:uri="http://schemas.microsoft.com/office/infopath/2007/PartnerControls"/>
    <ds:schemaRef ds:uri="1e491a47-3780-4c40-a92e-7cdf62cc77f5"/>
    <ds:schemaRef ds:uri="75bb013c-a918-4405-902b-66b99abebcf1"/>
  </ds:schemaRefs>
</ds:datastoreItem>
</file>

<file path=docProps/app.xml><?xml version="1.0" encoding="utf-8"?>
<Properties xmlns="http://schemas.openxmlformats.org/officeDocument/2006/extended-properties" xmlns:vt="http://schemas.openxmlformats.org/officeDocument/2006/docPropsVTypes">
  <Template/>
  <TotalTime>511</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DMCAR</vt:lpstr>
      <vt:lpstr>DataTypes</vt:lpstr>
      <vt:lpstr>Mapping</vt:lpstr>
      <vt:lpstr>Requirement</vt:lpstr>
      <vt:lpstr>List of party roles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Kimber (ICON0245)</dc:creator>
  <dc:description/>
  <cp:lastModifiedBy>Tom Kimber</cp:lastModifiedBy>
  <cp:revision>31</cp:revision>
  <dcterms:created xsi:type="dcterms:W3CDTF">2024-04-18T14:17:57Z</dcterms:created>
  <dcterms:modified xsi:type="dcterms:W3CDTF">2025-02-26T14:35:43Z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0x01010096615B8C99ADF549B2D42C71C853D2B2</vt:lpwstr>
  </property>
  <property fmtid="{D5CDD505-2E9C-101B-9397-08002B2CF9AE}" pid="3" name="MediaServiceImageTags">
    <vt:lpwstr/>
  </property>
</Properties>
</file>